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tatnett.sharepoint.com/sites/NNNDriftsomraadeNordland_org/Shared Documents/Vedlikehold NNN/Spenningsrunder - Flukemetoden/Maler -  ferdig utfylt for stasjon/"/>
    </mc:Choice>
  </mc:AlternateContent>
  <xr:revisionPtr revIDLastSave="19" documentId="8_{21760320-5A87-4C74-8169-50ECF3E7EBBC}" xr6:coauthVersionLast="47" xr6:coauthVersionMax="47" xr10:uidLastSave="{1E26D708-AC22-4C6B-9C84-6673EA0AD79B}"/>
  <bookViews>
    <workbookView xWindow="2295" yWindow="2295" windowWidth="28800" windowHeight="15345" activeTab="1" xr2:uid="{00000000-000D-0000-FFFF-FFFF00000000}"/>
  </bookViews>
  <sheets>
    <sheet name="Fremgangsmetode" sheetId="2" r:id="rId1"/>
    <sheet name="xxxkV" sheetId="1" r:id="rId2"/>
  </sheets>
  <definedNames>
    <definedName name="Addo_DocID" comment="AddoOAS">"72ec96ee-2e57-41c2-975f-296b856d55f9"</definedName>
    <definedName name="Addo_Today">45778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F42" i="1"/>
  <c r="D42" i="1"/>
  <c r="J41" i="1"/>
  <c r="H41" i="1"/>
  <c r="H40" i="1"/>
  <c r="K39" i="1"/>
  <c r="J39" i="1"/>
  <c r="I39" i="1"/>
  <c r="H39" i="1"/>
  <c r="G39" i="1"/>
  <c r="F39" i="1"/>
  <c r="E39" i="1"/>
  <c r="D39" i="1"/>
  <c r="C39" i="1"/>
  <c r="B39" i="1"/>
  <c r="K22" i="1"/>
  <c r="K42" i="1" s="1"/>
  <c r="J42" i="1"/>
  <c r="I42" i="1"/>
  <c r="H42" i="1"/>
  <c r="G42" i="1"/>
  <c r="K21" i="1"/>
  <c r="K41" i="1" s="1"/>
  <c r="I41" i="1"/>
  <c r="G41" i="1"/>
  <c r="K20" i="1"/>
  <c r="K40" i="1" s="1"/>
  <c r="J40" i="1"/>
  <c r="I40" i="1"/>
  <c r="G40" i="1"/>
  <c r="I11" i="1"/>
  <c r="E42" i="1" s="1"/>
  <c r="G11" i="1"/>
  <c r="E11" i="1"/>
  <c r="C42" i="1" s="1"/>
  <c r="F41" i="1"/>
  <c r="I10" i="1"/>
  <c r="E41" i="1" s="1"/>
  <c r="D41" i="1"/>
  <c r="E10" i="1"/>
  <c r="C41" i="1" s="1"/>
  <c r="F40" i="1"/>
  <c r="I9" i="1"/>
  <c r="E40" i="1" s="1"/>
  <c r="G9" i="1"/>
  <c r="D40" i="1" s="1"/>
  <c r="E9" i="1"/>
  <c r="C40" i="1" s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Håvard Dahlen</author>
  </authors>
  <commentList>
    <comment ref="B1" authorId="0" shapeId="0" xr:uid="{476E227D-17C4-48BE-9B7B-6D4443B9C90E}">
      <text>
        <r>
          <rPr>
            <b/>
            <sz val="12"/>
            <color indexed="81"/>
            <rFont val="Arial"/>
            <family val="2"/>
          </rPr>
          <t>Husk å sette inn spg.nivå i arkfane.</t>
        </r>
      </text>
    </comment>
    <comment ref="B2" authorId="0" shapeId="0" xr:uid="{272214FB-6870-420F-8B9C-4389DDF2807A}">
      <text>
        <r>
          <rPr>
            <b/>
            <sz val="12"/>
            <color indexed="81"/>
            <rFont val="Arial"/>
            <family val="2"/>
          </rPr>
          <t>Ctrl,Shift, + ; gir dagens dato.</t>
        </r>
      </text>
    </comment>
    <comment ref="J4" authorId="0" shapeId="0" xr:uid="{C0717E3E-9A4C-4803-ABF5-9F415921C509}">
      <text>
        <r>
          <rPr>
            <b/>
            <sz val="9"/>
            <color indexed="81"/>
            <rFont val="Tahoma"/>
            <family val="2"/>
          </rPr>
          <t>Sekundær linjespenning</t>
        </r>
      </text>
    </comment>
  </commentList>
</comments>
</file>

<file path=xl/sharedStrings.xml><?xml version="1.0" encoding="utf-8"?>
<sst xmlns="http://schemas.openxmlformats.org/spreadsheetml/2006/main" count="118" uniqueCount="77">
  <si>
    <t>Stasjon:</t>
  </si>
  <si>
    <t>Kalibrering av 
måleinstrumenter</t>
  </si>
  <si>
    <t>Fabrikat</t>
  </si>
  <si>
    <t xml:space="preserve">Type </t>
  </si>
  <si>
    <t>serienr.</t>
  </si>
  <si>
    <t>kalibreringsdato</t>
  </si>
  <si>
    <t>Dato:</t>
  </si>
  <si>
    <t>Ref. instrument</t>
  </si>
  <si>
    <t>Sign:</t>
  </si>
  <si>
    <t>Måleinstrument</t>
  </si>
  <si>
    <r>
      <t xml:space="preserve">Sammenligning av sekundærspg. på spg.transf. </t>
    </r>
    <r>
      <rPr>
        <b/>
        <i/>
        <u/>
        <sz val="17"/>
        <color rgb="FF0070C0"/>
        <rFont val="Arial Narrow"/>
        <family val="2"/>
      </rPr>
      <t>tilknyttet samme drift</t>
    </r>
    <r>
      <rPr>
        <b/>
        <i/>
        <sz val="17"/>
        <color rgb="FF0070C0"/>
        <rFont val="Arial Narrow"/>
        <family val="2"/>
      </rPr>
      <t>.</t>
    </r>
  </si>
  <si>
    <t>Sekundærspenning</t>
  </si>
  <si>
    <t>Transf./Linje</t>
  </si>
  <si>
    <t>Tegningsref.</t>
  </si>
  <si>
    <t>Rekkekl.nr.</t>
  </si>
  <si>
    <t>Spg</t>
  </si>
  <si>
    <r>
      <t>U</t>
    </r>
    <r>
      <rPr>
        <vertAlign val="subscript"/>
        <sz val="12"/>
        <rFont val="Arial"/>
        <family val="2"/>
      </rPr>
      <t>L1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</si>
  <si>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r>
      <t>U</t>
    </r>
    <r>
      <rPr>
        <vertAlign val="subscript"/>
        <sz val="12"/>
        <rFont val="Arial"/>
        <family val="2"/>
      </rPr>
      <t>L2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</si>
  <si>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r>
      <t>U</t>
    </r>
    <r>
      <rPr>
        <vertAlign val="subscript"/>
        <sz val="12"/>
        <rFont val="Arial"/>
        <family val="2"/>
      </rPr>
      <t>L3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</si>
  <si>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t>Ref. instr.</t>
  </si>
  <si>
    <t>Måleinstr.</t>
  </si>
  <si>
    <t>NB! HUSK FORTEGN.</t>
  </si>
  <si>
    <t>Akseptabelt avvik.</t>
  </si>
  <si>
    <t>Uf</t>
  </si>
  <si>
    <t>Avvik ± (V)</t>
  </si>
  <si>
    <t>Cl. 0,2</t>
  </si>
  <si>
    <r>
      <t>U</t>
    </r>
    <r>
      <rPr>
        <vertAlign val="subscript"/>
        <sz val="10"/>
        <rFont val="Arial Narrow"/>
        <family val="2"/>
      </rPr>
      <t>L1</t>
    </r>
    <r>
      <rPr>
        <sz val="12"/>
        <rFont val="Arial Narrow"/>
        <family val="2"/>
      </rPr>
      <t xml:space="preserve"> </t>
    </r>
  </si>
  <si>
    <r>
      <t>U</t>
    </r>
    <r>
      <rPr>
        <vertAlign val="subscript"/>
        <sz val="10"/>
        <rFont val="Arial Narrow"/>
        <family val="2"/>
      </rPr>
      <t>L2</t>
    </r>
    <r>
      <rPr>
        <sz val="12"/>
        <rFont val="Arial Narrow"/>
        <family val="2"/>
      </rPr>
      <t xml:space="preserve"> </t>
    </r>
  </si>
  <si>
    <r>
      <t>U</t>
    </r>
    <r>
      <rPr>
        <vertAlign val="subscript"/>
        <sz val="10"/>
        <rFont val="Arial Narrow"/>
        <family val="2"/>
      </rPr>
      <t>L3</t>
    </r>
    <r>
      <rPr>
        <sz val="12"/>
        <rFont val="Arial Narrow"/>
        <family val="2"/>
      </rPr>
      <t xml:space="preserve"> </t>
    </r>
  </si>
  <si>
    <t>Differanser større enn de oppgitt i tabellen - følg vedlikeholdsprosedyre for videre håndtering</t>
  </si>
  <si>
    <t xml:space="preserve">                            Ref.instr.         Måleinstr.                                                        De andre feltene</t>
  </si>
  <si>
    <t xml:space="preserve">                    Ref. felt</t>
  </si>
  <si>
    <t>1  Innledning</t>
  </si>
  <si>
    <t>Ihht  dokID: 1590921 skal det være 2 personer for utføring av målingene.</t>
  </si>
  <si>
    <t>Hver stasjon lager sin "mal", med ferdig innlagt data som avgang, tegningsreferanser, rekkeklemmelist og rekkeklemmer.</t>
  </si>
  <si>
    <t>Er skjema du starter med en kopi: Sjekk at man har instrumenter ihht til de som er oppført i skjema. Hvis ikke – endres data i skjema for instrumentene.</t>
  </si>
  <si>
    <t>2  Første gangs oppsett og bruk av skjema:</t>
  </si>
  <si>
    <t>Det er KUN gule felt som skal fylles ut.</t>
  </si>
  <si>
    <t>Fyll ut heading, dvs. stasjon, stasjonens sekundærspenning, dato og signatur.</t>
  </si>
  <si>
    <t>Fyll ut data for referanseinstrument (instrument som benyttes for referansespenning) og måleinstrument (instrument som brukes på de forskjellige avgangene). Det være seg fabrikat, type, serienummer og kalibreringsdato</t>
  </si>
  <si>
    <t>Deretter fylles ut hvor målingen er gjort inne i kontrollanlegget – prim.spenning + avgang, og deretter tegningsreferanse (anleggsdel og feltskap, tegningsblad, rekkeklemmelist og rekkeklemme.</t>
  </si>
  <si>
    <t>3  Forutsetninger i anlegget:</t>
  </si>
  <si>
    <t>Spenningstransformatorene må ligge på samme drift.</t>
  </si>
  <si>
    <t>Det felt som første gang velges som referanse, skal brukes hver gang for ettertiden. Viktig her er at man velger et spenningstrafo-sett som er hyppigst i bruk. På 132kV-nivå – er spenningstrafoene på en av samleskinnene et godt valg. Disse kan i tillegg også være induktive – noe som gjør valget enda bedre. For 300kV- &amp; 420kV-nivå må man gjøre andre valg.</t>
  </si>
  <si>
    <t>Det skal brukes AC-kurs som er tilkoplet elmåler (dersom det finnes på avgangen)</t>
  </si>
  <si>
    <t>Monter prøvebøssinger på målestedene. Noe som gjør målingen mer sikker, samt at det er lettere å finne målepunktene ved senere målinger.</t>
  </si>
  <si>
    <t>4  Målemetode:</t>
  </si>
  <si>
    <t>a) Starter med UL1.</t>
  </si>
  <si>
    <t>b) Kople opp referanseinstrument i referansefelt, sett prøveledninger fra måleinstrument i referanseinstrumentet. Trykk ned REL-knapp i begge instrumentene samtidig (REL – relativ måling). Skriv ned målt spenning med to desimaler, i feltet C9.</t>
  </si>
  <si>
    <t>c) Prøveledninger fra måleinstrument til referanseinstrument, tas ut av referanseinstrumentet og plasseres i første felt, på riktige rekkeklemmer.</t>
  </si>
  <si>
    <t>d) Trykk "HOLD"-funksjonen på begge instrumentene samtidig, og les av verdiene. Avlest verdi fra referanseinstrumentet noteres i felt D13, mens avlest verdi fra måleinstrument noteres i E13. avviket blir nå beregnet i felt E9.</t>
  </si>
  <si>
    <t>e) Trykk ned "HOLD"-knappen igjen på begge instrumentene, og vi er klar til å gjøre måling i neste felt.</t>
  </si>
  <si>
    <t>f) Gjenta prosedyren for alle feltene.</t>
  </si>
  <si>
    <t>g) Deretter fortsetter man med UL2 og så for UL3.</t>
  </si>
  <si>
    <t>5  Utfylling av skjema/Vurdering:</t>
  </si>
  <si>
    <t>Utfør alle målingene for UL1 i hht målemetode og før inn verdierne med fortegn og to desimaler.</t>
  </si>
  <si>
    <t>Deretter utføres alle målinger for UL2 og til slutt utføres alle målinger for UL3.</t>
  </si>
  <si>
    <t>Dersom noen av de beregnede verdiene overstiger grenseverdiene (se tabell "Akseptable avvik"), gjøres nye målingene i feltskap. Det er da kun nødvendig å ta målingene på de feltene som har for høye verdier. Benytt samme referansefelt som inne i kontrollrom.</t>
  </si>
  <si>
    <t>Er det fortsatt for høye verdier i målingene fra feltskap (ref. tabell "Akseptable avvik"), sendes begge målingene til kWh@statnett.no.</t>
  </si>
  <si>
    <t>Er målingene i feltskap innenfor grenseverdiene, må rekkeklemmetilkoplinger etterskrus. Benytt momentskrutrekker med rett Nm på rekkeklemmene for spenning.</t>
  </si>
  <si>
    <t>6  Navnsette arkene i regnearket</t>
  </si>
  <si>
    <t>Navnsett arket for rett primærnivå: dobbelklikk på "xxxkV" og erstatt xxx med spg.nivå [eks. 420kV]</t>
  </si>
  <si>
    <t>Trengs ett ark til i regnearket: stå med musepila på "xxxkV" og høyreklikk, velg "Flytt el. Kopier"</t>
  </si>
  <si>
    <t>Huk av "Lag en kopi" og OK  - Navnsett nytt ark [eks. 132kV]</t>
  </si>
  <si>
    <t>X2: 1-4</t>
  </si>
  <si>
    <t>X2: 2-4</t>
  </si>
  <si>
    <t>X2: 3-4</t>
  </si>
  <si>
    <t>MARKA 300kV</t>
  </si>
  <si>
    <t>Samleskinne A (+2R1)</t>
  </si>
  <si>
    <t>Samleskinne B (+2R1)</t>
  </si>
  <si>
    <t>Nedre Røssåga (+4R1)</t>
  </si>
  <si>
    <t>Trofors (+4R3)</t>
  </si>
  <si>
    <t>X2: 1-6</t>
  </si>
  <si>
    <t>X2: 61-66</t>
  </si>
  <si>
    <t>SSA</t>
  </si>
  <si>
    <t>SSB</t>
  </si>
  <si>
    <t>Heidi, Emil og Lukas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</si>
</sst>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:\ mmm\.\ yyyy"/>
    <numFmt numFmtId="165" formatCode="#&quot; &quot;\V\:"/>
    <numFmt numFmtId="166" formatCode="#&quot; &quot;\V"/>
    <numFmt numFmtId="167" formatCode="\U\f\=* .00&quot; &quot;\V"/>
    <numFmt numFmtId="168" formatCode="0.00&quot; &quot;\V"/>
  </numFmts>
  <fonts count="2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i/>
      <sz val="16"/>
      <color rgb="FF0070C0"/>
      <name val="Arial"/>
      <family val="2"/>
    </font>
    <font>
      <sz val="14"/>
      <name val="Arial Narrow"/>
      <family val="2"/>
    </font>
    <font>
      <sz val="12"/>
      <name val="Arial Narrow"/>
      <family val="2"/>
    </font>
    <font>
      <b/>
      <i/>
      <sz val="17"/>
      <color rgb="FF0070C0"/>
      <name val="Arial Narrow"/>
      <family val="2"/>
    </font>
    <font>
      <b/>
      <i/>
      <u/>
      <sz val="17"/>
      <color rgb="FF0070C0"/>
      <name val="Arial Narrow"/>
      <family val="2"/>
    </font>
    <font>
      <sz val="10"/>
      <name val="Arial"/>
      <family val="2"/>
    </font>
    <font>
      <vertAlign val="subscript"/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sz val="11"/>
      <name val="Arial Narrow"/>
      <family val="2"/>
    </font>
    <font>
      <sz val="11"/>
      <name val="Comic Sans MS"/>
      <family val="4"/>
    </font>
    <font>
      <sz val="12"/>
      <name val="Comic Sans MS"/>
      <family val="4"/>
    </font>
    <font>
      <b/>
      <sz val="12"/>
      <color rgb="FFFF0000"/>
      <name val="Arial"/>
      <family val="2"/>
    </font>
    <font>
      <b/>
      <sz val="16"/>
      <color rgb="FFFF0000"/>
      <name val="Arial"/>
      <family val="2"/>
    </font>
    <font>
      <vertAlign val="subscript"/>
      <sz val="10"/>
      <name val="Arial Narrow"/>
      <family val="2"/>
    </font>
    <font>
      <b/>
      <sz val="12"/>
      <color indexed="81"/>
      <name val="Arial"/>
      <family val="2"/>
    </font>
    <font>
      <b/>
      <sz val="9"/>
      <color indexed="81"/>
      <name val="Tahoma"/>
      <family val="2"/>
    </font>
    <font>
      <b/>
      <sz val="14"/>
      <color rgb="FF2F5496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88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4" fillId="0" borderId="0" xfId="1"/>
    <xf numFmtId="0" fontId="1" fillId="0" borderId="0" xfId="0" applyFont="1" applyAlignment="1">
      <alignment horizontal="right"/>
    </xf>
    <xf numFmtId="0" fontId="1" fillId="0" borderId="3" xfId="1" applyFont="1" applyBorder="1"/>
    <xf numFmtId="49" fontId="1" fillId="2" borderId="3" xfId="0" applyNumberFormat="1" applyFont="1" applyFill="1" applyBorder="1" applyAlignment="1" applyProtection="1">
      <alignment horizontal="center"/>
      <protection locked="0"/>
    </xf>
    <xf numFmtId="1" fontId="1" fillId="2" borderId="3" xfId="0" applyNumberFormat="1" applyFont="1" applyFill="1" applyBorder="1" applyAlignment="1" applyProtection="1">
      <alignment horizontal="center"/>
      <protection locked="0"/>
    </xf>
    <xf numFmtId="0" fontId="1" fillId="0" borderId="3" xfId="0" applyFont="1" applyBorder="1"/>
    <xf numFmtId="165" fontId="0" fillId="0" borderId="0" xfId="0" applyNumberFormat="1" applyProtection="1">
      <protection locked="0"/>
    </xf>
    <xf numFmtId="166" fontId="0" fillId="2" borderId="0" xfId="0" applyNumberFormat="1" applyFill="1" applyProtection="1">
      <protection locked="0"/>
    </xf>
    <xf numFmtId="167" fontId="7" fillId="0" borderId="0" xfId="0" applyNumberFormat="1" applyFont="1"/>
    <xf numFmtId="0" fontId="1" fillId="0" borderId="7" xfId="0" applyFont="1" applyBorder="1"/>
    <xf numFmtId="0" fontId="1" fillId="0" borderId="12" xfId="0" applyFont="1" applyBorder="1"/>
    <xf numFmtId="0" fontId="1" fillId="2" borderId="5" xfId="0" applyFont="1" applyFill="1" applyBorder="1" applyProtection="1">
      <protection locked="0"/>
    </xf>
    <xf numFmtId="0" fontId="1" fillId="0" borderId="5" xfId="0" applyFont="1" applyBorder="1"/>
    <xf numFmtId="0" fontId="1" fillId="0" borderId="4" xfId="0" applyFont="1" applyBorder="1"/>
    <xf numFmtId="0" fontId="1" fillId="0" borderId="14" xfId="0" applyFont="1" applyBorder="1"/>
    <xf numFmtId="0" fontId="1" fillId="0" borderId="13" xfId="0" applyFont="1" applyBorder="1"/>
    <xf numFmtId="0" fontId="0" fillId="0" borderId="0" xfId="0" applyProtection="1">
      <protection locked="0"/>
    </xf>
    <xf numFmtId="168" fontId="1" fillId="0" borderId="13" xfId="0" applyNumberFormat="1" applyFont="1" applyBorder="1" applyAlignment="1">
      <alignment horizontal="center"/>
    </xf>
    <xf numFmtId="168" fontId="4" fillId="0" borderId="0" xfId="1" applyNumberFormat="1"/>
    <xf numFmtId="0" fontId="1" fillId="3" borderId="14" xfId="0" applyFont="1" applyFill="1" applyBorder="1"/>
    <xf numFmtId="0" fontId="1" fillId="4" borderId="4" xfId="0" applyFont="1" applyFill="1" applyBorder="1"/>
    <xf numFmtId="0" fontId="1" fillId="4" borderId="13" xfId="0" applyFont="1" applyFill="1" applyBorder="1"/>
    <xf numFmtId="2" fontId="1" fillId="2" borderId="14" xfId="0" applyNumberFormat="1" applyFont="1" applyFill="1" applyBorder="1" applyAlignment="1" applyProtection="1">
      <alignment horizontal="right" indent="1"/>
      <protection locked="0"/>
    </xf>
    <xf numFmtId="2" fontId="1" fillId="2" borderId="4" xfId="0" applyNumberFormat="1" applyFont="1" applyFill="1" applyBorder="1" applyAlignment="1" applyProtection="1">
      <alignment horizontal="right" indent="1"/>
      <protection locked="0"/>
    </xf>
    <xf numFmtId="2" fontId="1" fillId="2" borderId="13" xfId="0" applyNumberFormat="1" applyFont="1" applyFill="1" applyBorder="1" applyAlignment="1" applyProtection="1">
      <alignment horizontal="right" indent="1"/>
      <protection locked="0"/>
    </xf>
    <xf numFmtId="0" fontId="1" fillId="0" borderId="15" xfId="0" applyFont="1" applyBorder="1"/>
    <xf numFmtId="2" fontId="1" fillId="2" borderId="16" xfId="0" applyNumberFormat="1" applyFont="1" applyFill="1" applyBorder="1" applyAlignment="1" applyProtection="1">
      <alignment horizontal="right" indent="1"/>
      <protection locked="0"/>
    </xf>
    <xf numFmtId="2" fontId="1" fillId="2" borderId="17" xfId="0" applyNumberFormat="1" applyFont="1" applyFill="1" applyBorder="1" applyAlignment="1" applyProtection="1">
      <alignment horizontal="right" indent="1"/>
      <protection locked="0"/>
    </xf>
    <xf numFmtId="2" fontId="1" fillId="2" borderId="18" xfId="0" applyNumberFormat="1" applyFont="1" applyFill="1" applyBorder="1" applyAlignment="1" applyProtection="1">
      <alignment horizontal="right" indent="1"/>
      <protection locked="0"/>
    </xf>
    <xf numFmtId="0" fontId="10" fillId="0" borderId="0" xfId="0" applyFont="1"/>
    <xf numFmtId="0" fontId="11" fillId="0" borderId="0" xfId="0" applyFont="1"/>
    <xf numFmtId="0" fontId="12" fillId="0" borderId="0" xfId="1" applyFont="1"/>
    <xf numFmtId="0" fontId="13" fillId="0" borderId="0" xfId="0" applyFont="1"/>
    <xf numFmtId="0" fontId="14" fillId="0" borderId="0" xfId="0" applyFont="1"/>
    <xf numFmtId="0" fontId="1" fillId="2" borderId="14" xfId="0" applyFont="1" applyFill="1" applyBorder="1" applyProtection="1">
      <protection locked="0"/>
    </xf>
    <xf numFmtId="2" fontId="1" fillId="2" borderId="5" xfId="0" applyNumberFormat="1" applyFont="1" applyFill="1" applyBorder="1" applyAlignment="1" applyProtection="1">
      <alignment horizontal="right" indent="1"/>
      <protection locked="0"/>
    </xf>
    <xf numFmtId="2" fontId="1" fillId="2" borderId="19" xfId="0" applyNumberFormat="1" applyFont="1" applyFill="1" applyBorder="1" applyAlignment="1" applyProtection="1">
      <alignment horizontal="right" indent="1"/>
      <protection locked="0"/>
    </xf>
    <xf numFmtId="0" fontId="9" fillId="0" borderId="0" xfId="0" applyFont="1"/>
    <xf numFmtId="0" fontId="15" fillId="0" borderId="3" xfId="0" applyFont="1" applyBorder="1" applyAlignment="1">
      <alignment horizontal="left" indent="1"/>
    </xf>
    <xf numFmtId="4" fontId="1" fillId="0" borderId="3" xfId="0" applyNumberFormat="1" applyFont="1" applyBorder="1"/>
    <xf numFmtId="0" fontId="0" fillId="0" borderId="0" xfId="0" quotePrefix="1"/>
    <xf numFmtId="0" fontId="4" fillId="0" borderId="24" xfId="1" applyBorder="1" applyProtection="1"/>
    <xf numFmtId="168" fontId="4" fillId="0" borderId="0" xfId="1" applyNumberFormat="1" applyProtection="1"/>
    <xf numFmtId="4" fontId="1" fillId="0" borderId="3" xfId="0" applyNumberFormat="1" applyFont="1" applyBorder="1" applyAlignment="1">
      <alignment horizontal="left" vertical="center"/>
    </xf>
    <xf numFmtId="4" fontId="15" fillId="0" borderId="3" xfId="0" applyNumberFormat="1" applyFont="1" applyBorder="1" applyAlignment="1">
      <alignment vertical="center"/>
    </xf>
    <xf numFmtId="0" fontId="1" fillId="0" borderId="0" xfId="1" applyFont="1"/>
    <xf numFmtId="0" fontId="1" fillId="0" borderId="0" xfId="2"/>
    <xf numFmtId="0" fontId="20" fillId="0" borderId="0" xfId="2" applyFont="1" applyAlignment="1">
      <alignment horizontal="left" vertical="center" indent="1"/>
    </xf>
    <xf numFmtId="0" fontId="1" fillId="0" borderId="0" xfId="2" applyAlignment="1">
      <alignment vertical="center" wrapText="1"/>
    </xf>
    <xf numFmtId="0" fontId="21" fillId="2" borderId="3" xfId="0" applyFont="1" applyFill="1" applyBorder="1" applyProtection="1">
      <protection locked="0"/>
    </xf>
    <xf numFmtId="0" fontId="21" fillId="2" borderId="14" xfId="0" applyFont="1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9" fillId="2" borderId="10" xfId="0" applyFont="1" applyFill="1" applyBorder="1" applyProtection="1">
      <protection locked="0"/>
    </xf>
    <xf numFmtId="0" fontId="9" fillId="2" borderId="9" xfId="0" applyFont="1" applyFill="1" applyBorder="1" applyProtection="1">
      <protection locked="0"/>
    </xf>
    <xf numFmtId="0" fontId="9" fillId="2" borderId="11" xfId="0" applyFont="1" applyFill="1" applyBorder="1" applyProtection="1">
      <protection locked="0"/>
    </xf>
    <xf numFmtId="0" fontId="2" fillId="2" borderId="0" xfId="0" applyFont="1" applyFill="1" applyAlignment="1" applyProtection="1">
      <alignment horizontal="left" vertical="center" indent="1"/>
      <protection locked="0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2" borderId="0" xfId="0" applyNumberFormat="1" applyFont="1" applyFill="1" applyAlignment="1" applyProtection="1">
      <alignment horizontal="left" indent="1"/>
      <protection locked="0"/>
    </xf>
    <xf numFmtId="14" fontId="1" fillId="2" borderId="4" xfId="0" applyNumberFormat="1" applyFont="1" applyFill="1" applyBorder="1" applyAlignment="1" applyProtection="1">
      <alignment horizontal="center"/>
      <protection locked="0"/>
    </xf>
    <xf numFmtId="14" fontId="1" fillId="2" borderId="5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 indent="1"/>
      <protection locked="0"/>
    </xf>
    <xf numFmtId="0" fontId="5" fillId="0" borderId="0" xfId="0" applyFont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9" fillId="2" borderId="8" xfId="0" applyFont="1" applyFill="1" applyBorder="1" applyProtection="1">
      <protection locked="0"/>
    </xf>
    <xf numFmtId="0" fontId="21" fillId="2" borderId="3" xfId="0" applyFont="1" applyFill="1" applyBorder="1" applyProtection="1">
      <protection locked="0"/>
    </xf>
    <xf numFmtId="0" fontId="21" fillId="2" borderId="4" xfId="0" applyFont="1" applyFill="1" applyBorder="1" applyProtection="1">
      <protection locked="0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16" fillId="0" borderId="21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" fillId="2" borderId="10" xfId="0" applyFont="1" applyFill="1" applyBorder="1" applyProtection="1">
      <protection locked="0"/>
    </xf>
    <xf numFmtId="0" fontId="1" fillId="2" borderId="11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10" fillId="2" borderId="5" xfId="0" applyFont="1" applyFill="1" applyBorder="1" applyProtection="1">
      <protection locked="0"/>
    </xf>
  </cellXfs>
  <cellStyles count="3">
    <cellStyle name="Normal" xfId="0" builtinId="0"/>
    <cellStyle name="Normal 2" xfId="2" xr:uid="{06567335-2543-4555-8116-69F6AE8FD01F}"/>
    <cellStyle name="Normal-Areal" xfId="1" xr:uid="{F4CBDA27-59DA-4739-8EFC-DD2E4B32E87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b-NO" sz="1800" b="1" i="0" baseline="0">
                <a:effectLst/>
              </a:rPr>
              <a:t>Sammenlignings kontroll av spenningstransformatorer</a:t>
            </a:r>
            <a:endParaRPr lang="nb-N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xxxkV!$A$40</c:f>
              <c:strCache>
                <c:ptCount val="1"/>
                <c:pt idx="0">
                  <c:v>UL1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xxxkV!$B$40:$K$40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5BF-429B-A29F-AC13DC76FF05}"/>
            </c:ext>
          </c:extLst>
        </c:ser>
        <c:ser>
          <c:idx val="1"/>
          <c:order val="1"/>
          <c:tx>
            <c:strRef>
              <c:f>xxxkV!$A$41</c:f>
              <c:strCache>
                <c:ptCount val="1"/>
                <c:pt idx="0">
                  <c:v>UL2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xxxkV!$B$41:$K$41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5BF-429B-A29F-AC13DC76FF05}"/>
            </c:ext>
          </c:extLst>
        </c:ser>
        <c:ser>
          <c:idx val="2"/>
          <c:order val="2"/>
          <c:tx>
            <c:strRef>
              <c:f>xxxkV!$A$42</c:f>
              <c:strCache>
                <c:ptCount val="1"/>
                <c:pt idx="0">
                  <c:v>UL3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xxxkV!$B$42:$K$42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5BF-429B-A29F-AC13DC76F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072320"/>
        <c:axId val="1424072736"/>
      </c:lineChart>
      <c:catAx>
        <c:axId val="14240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24072736"/>
        <c:crossesAt val="0"/>
        <c:auto val="1"/>
        <c:lblAlgn val="ctr"/>
        <c:lblOffset val="100"/>
        <c:noMultiLvlLbl val="0"/>
      </c:catAx>
      <c:valAx>
        <c:axId val="1424072736"/>
        <c:scaling>
          <c:orientation val="minMax"/>
          <c:max val="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cross"/>
        <c:tickLblPos val="low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2407232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0000FF"/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79376</xdr:rowOff>
    </xdr:from>
    <xdr:to>
      <xdr:col>0</xdr:col>
      <xdr:colOff>4991101</xdr:colOff>
      <xdr:row>8</xdr:row>
      <xdr:rowOff>13608</xdr:rowOff>
    </xdr:to>
    <xdr:grpSp>
      <xdr:nvGrpSpPr>
        <xdr:cNvPr id="2" name="Gruppe 1">
          <a:extLst>
            <a:ext uri="{FF2B5EF4-FFF2-40B4-BE49-F238E27FC236}">
              <a16:creationId xmlns:a16="http://schemas.microsoft.com/office/drawing/2014/main" id="{2163A026-DD16-4689-8670-E38652719275}"/>
            </a:ext>
          </a:extLst>
        </xdr:cNvPr>
        <xdr:cNvGrpSpPr/>
      </xdr:nvGrpSpPr>
      <xdr:grpSpPr>
        <a:xfrm>
          <a:off x="590550" y="79376"/>
          <a:ext cx="4400551" cy="1458232"/>
          <a:chOff x="9153525" y="298450"/>
          <a:chExt cx="4400551" cy="2012950"/>
        </a:xfrm>
      </xdr:grpSpPr>
      <xdr:grpSp>
        <xdr:nvGrpSpPr>
          <xdr:cNvPr id="3" name="Group 5">
            <a:extLst>
              <a:ext uri="{FF2B5EF4-FFF2-40B4-BE49-F238E27FC236}">
                <a16:creationId xmlns:a16="http://schemas.microsoft.com/office/drawing/2014/main" id="{55D9C809-873A-1CF9-F3DD-76E81756581E}"/>
              </a:ext>
            </a:extLst>
          </xdr:cNvPr>
          <xdr:cNvGrpSpPr>
            <a:grpSpLocks/>
          </xdr:cNvGrpSpPr>
        </xdr:nvGrpSpPr>
        <xdr:grpSpPr bwMode="auto">
          <a:xfrm>
            <a:off x="9829800" y="571500"/>
            <a:ext cx="336550" cy="831850"/>
            <a:chOff x="204" y="189"/>
            <a:chExt cx="53" cy="95"/>
          </a:xfrm>
        </xdr:grpSpPr>
        <xdr:sp macro="" textlink="">
          <xdr:nvSpPr>
            <xdr:cNvPr id="13" name="Rectangle 1">
              <a:extLst>
                <a:ext uri="{FF2B5EF4-FFF2-40B4-BE49-F238E27FC236}">
                  <a16:creationId xmlns:a16="http://schemas.microsoft.com/office/drawing/2014/main" id="{62AEB2BC-A771-F182-0E02-20782CFDDD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4" y="189"/>
              <a:ext cx="53" cy="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4" name="Rectangle 2">
              <a:extLst>
                <a:ext uri="{FF2B5EF4-FFF2-40B4-BE49-F238E27FC236}">
                  <a16:creationId xmlns:a16="http://schemas.microsoft.com/office/drawing/2014/main" id="{409907D6-9834-DD0A-82D3-78071BD934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9" y="198"/>
              <a:ext cx="43" cy="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5" name="Oval 3">
              <a:extLst>
                <a:ext uri="{FF2B5EF4-FFF2-40B4-BE49-F238E27FC236}">
                  <a16:creationId xmlns:a16="http://schemas.microsoft.com/office/drawing/2014/main" id="{78F565B8-C9B3-D85B-31F5-1A685B6F5C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" y="27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6" name="Oval 4">
              <a:extLst>
                <a:ext uri="{FF2B5EF4-FFF2-40B4-BE49-F238E27FC236}">
                  <a16:creationId xmlns:a16="http://schemas.microsoft.com/office/drawing/2014/main" id="{3612237F-EDAD-4362-91C2-7B79C61C10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270"/>
              <a:ext cx="8" cy="8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4" name="Group 6">
            <a:extLst>
              <a:ext uri="{FF2B5EF4-FFF2-40B4-BE49-F238E27FC236}">
                <a16:creationId xmlns:a16="http://schemas.microsoft.com/office/drawing/2014/main" id="{1158BB1F-9DCE-EF0E-C49C-9B2FF43A5143}"/>
              </a:ext>
            </a:extLst>
          </xdr:cNvPr>
          <xdr:cNvGrpSpPr>
            <a:grpSpLocks/>
          </xdr:cNvGrpSpPr>
        </xdr:nvGrpSpPr>
        <xdr:grpSpPr bwMode="auto">
          <a:xfrm>
            <a:off x="10785475" y="584200"/>
            <a:ext cx="342900" cy="825500"/>
            <a:chOff x="204" y="189"/>
            <a:chExt cx="53" cy="95"/>
          </a:xfrm>
        </xdr:grpSpPr>
        <xdr:sp macro="" textlink="">
          <xdr:nvSpPr>
            <xdr:cNvPr id="9" name="Rectangle 7">
              <a:extLst>
                <a:ext uri="{FF2B5EF4-FFF2-40B4-BE49-F238E27FC236}">
                  <a16:creationId xmlns:a16="http://schemas.microsoft.com/office/drawing/2014/main" id="{5B8149FC-8BD3-5494-5F58-117CD03831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4" y="189"/>
              <a:ext cx="53" cy="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0" name="Rectangle 8">
              <a:extLst>
                <a:ext uri="{FF2B5EF4-FFF2-40B4-BE49-F238E27FC236}">
                  <a16:creationId xmlns:a16="http://schemas.microsoft.com/office/drawing/2014/main" id="{6B51ABB0-7305-7EDB-3810-BD08EB4B4C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9" y="198"/>
              <a:ext cx="43" cy="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Oval 9">
              <a:extLst>
                <a:ext uri="{FF2B5EF4-FFF2-40B4-BE49-F238E27FC236}">
                  <a16:creationId xmlns:a16="http://schemas.microsoft.com/office/drawing/2014/main" id="{DE4E0402-2380-7965-5C48-AD656625D8A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" y="27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" name="Oval 10">
              <a:extLst>
                <a:ext uri="{FF2B5EF4-FFF2-40B4-BE49-F238E27FC236}">
                  <a16:creationId xmlns:a16="http://schemas.microsoft.com/office/drawing/2014/main" id="{0D369739-F219-CBC9-2478-2B22076735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270"/>
              <a:ext cx="8" cy="8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" name="Freeform 12">
            <a:extLst>
              <a:ext uri="{FF2B5EF4-FFF2-40B4-BE49-F238E27FC236}">
                <a16:creationId xmlns:a16="http://schemas.microsoft.com/office/drawing/2014/main" id="{D5CBC8E6-FF00-682E-4751-0106C7D73CE8}"/>
              </a:ext>
            </a:extLst>
          </xdr:cNvPr>
          <xdr:cNvSpPr>
            <a:spLocks/>
          </xdr:cNvSpPr>
        </xdr:nvSpPr>
        <xdr:spPr bwMode="auto">
          <a:xfrm>
            <a:off x="9153525" y="1346200"/>
            <a:ext cx="860425" cy="965200"/>
          </a:xfrm>
          <a:custGeom>
            <a:avLst/>
            <a:gdLst>
              <a:gd name="T0" fmla="*/ 2147483646 w 65"/>
              <a:gd name="T1" fmla="*/ 0 h 107"/>
              <a:gd name="T2" fmla="*/ 2147483646 w 65"/>
              <a:gd name="T3" fmla="*/ 2147483646 h 107"/>
              <a:gd name="T4" fmla="*/ 2147483646 w 65"/>
              <a:gd name="T5" fmla="*/ 2147483646 h 107"/>
              <a:gd name="T6" fmla="*/ 2147483646 w 65"/>
              <a:gd name="T7" fmla="*/ 2147483646 h 107"/>
              <a:gd name="T8" fmla="*/ 2147483646 w 65"/>
              <a:gd name="T9" fmla="*/ 2147483646 h 107"/>
              <a:gd name="T10" fmla="*/ 2147483646 w 65"/>
              <a:gd name="T11" fmla="*/ 2147483646 h 107"/>
              <a:gd name="T12" fmla="*/ 2147483646 w 65"/>
              <a:gd name="T13" fmla="*/ 2147483646 h 107"/>
              <a:gd name="T14" fmla="*/ 2147483646 w 65"/>
              <a:gd name="T15" fmla="*/ 2147483646 h 107"/>
              <a:gd name="T16" fmla="*/ 0 w 65"/>
              <a:gd name="T17" fmla="*/ 2147483646 h 107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65"/>
              <a:gd name="T28" fmla="*/ 0 h 107"/>
              <a:gd name="T29" fmla="*/ 65 w 65"/>
              <a:gd name="T30" fmla="*/ 107 h 107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65" h="107">
                <a:moveTo>
                  <a:pt x="65" y="0"/>
                </a:moveTo>
                <a:cubicBezTo>
                  <a:pt x="61" y="7"/>
                  <a:pt x="59" y="15"/>
                  <a:pt x="50" y="18"/>
                </a:cubicBezTo>
                <a:cubicBezTo>
                  <a:pt x="44" y="16"/>
                  <a:pt x="48" y="16"/>
                  <a:pt x="39" y="22"/>
                </a:cubicBezTo>
                <a:cubicBezTo>
                  <a:pt x="36" y="24"/>
                  <a:pt x="30" y="28"/>
                  <a:pt x="30" y="28"/>
                </a:cubicBezTo>
                <a:cubicBezTo>
                  <a:pt x="28" y="33"/>
                  <a:pt x="25" y="40"/>
                  <a:pt x="21" y="44"/>
                </a:cubicBezTo>
                <a:cubicBezTo>
                  <a:pt x="19" y="50"/>
                  <a:pt x="18" y="56"/>
                  <a:pt x="14" y="60"/>
                </a:cubicBezTo>
                <a:cubicBezTo>
                  <a:pt x="13" y="66"/>
                  <a:pt x="11" y="73"/>
                  <a:pt x="8" y="79"/>
                </a:cubicBezTo>
                <a:cubicBezTo>
                  <a:pt x="7" y="82"/>
                  <a:pt x="4" y="87"/>
                  <a:pt x="4" y="87"/>
                </a:cubicBezTo>
                <a:cubicBezTo>
                  <a:pt x="4" y="94"/>
                  <a:pt x="7" y="107"/>
                  <a:pt x="0" y="107"/>
                </a:cubicBezTo>
              </a:path>
            </a:pathLst>
          </a:custGeom>
          <a:noFill/>
          <a:ln w="19050" cmpd="sng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Freeform 13">
            <a:extLst>
              <a:ext uri="{FF2B5EF4-FFF2-40B4-BE49-F238E27FC236}">
                <a16:creationId xmlns:a16="http://schemas.microsoft.com/office/drawing/2014/main" id="{D737FEC6-0F59-E908-1372-55A62438A877}"/>
              </a:ext>
            </a:extLst>
          </xdr:cNvPr>
          <xdr:cNvSpPr>
            <a:spLocks/>
          </xdr:cNvSpPr>
        </xdr:nvSpPr>
        <xdr:spPr bwMode="auto">
          <a:xfrm>
            <a:off x="9696450" y="1346200"/>
            <a:ext cx="412750" cy="965200"/>
          </a:xfrm>
          <a:custGeom>
            <a:avLst/>
            <a:gdLst>
              <a:gd name="T0" fmla="*/ 2147483646 w 65"/>
              <a:gd name="T1" fmla="*/ 0 h 107"/>
              <a:gd name="T2" fmla="*/ 2147483646 w 65"/>
              <a:gd name="T3" fmla="*/ 2147483646 h 107"/>
              <a:gd name="T4" fmla="*/ 2147483646 w 65"/>
              <a:gd name="T5" fmla="*/ 2147483646 h 107"/>
              <a:gd name="T6" fmla="*/ 2147483646 w 65"/>
              <a:gd name="T7" fmla="*/ 2147483646 h 107"/>
              <a:gd name="T8" fmla="*/ 2147483646 w 65"/>
              <a:gd name="T9" fmla="*/ 2147483646 h 107"/>
              <a:gd name="T10" fmla="*/ 2147483646 w 65"/>
              <a:gd name="T11" fmla="*/ 2147483646 h 107"/>
              <a:gd name="T12" fmla="*/ 2147483646 w 65"/>
              <a:gd name="T13" fmla="*/ 2147483646 h 107"/>
              <a:gd name="T14" fmla="*/ 2147483646 w 65"/>
              <a:gd name="T15" fmla="*/ 2147483646 h 107"/>
              <a:gd name="T16" fmla="*/ 0 w 65"/>
              <a:gd name="T17" fmla="*/ 2147483646 h 107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65"/>
              <a:gd name="T28" fmla="*/ 0 h 107"/>
              <a:gd name="T29" fmla="*/ 65 w 65"/>
              <a:gd name="T30" fmla="*/ 107 h 107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65" h="107">
                <a:moveTo>
                  <a:pt x="65" y="0"/>
                </a:moveTo>
                <a:cubicBezTo>
                  <a:pt x="61" y="7"/>
                  <a:pt x="59" y="15"/>
                  <a:pt x="50" y="18"/>
                </a:cubicBezTo>
                <a:cubicBezTo>
                  <a:pt x="44" y="16"/>
                  <a:pt x="48" y="16"/>
                  <a:pt x="39" y="22"/>
                </a:cubicBezTo>
                <a:cubicBezTo>
                  <a:pt x="36" y="24"/>
                  <a:pt x="30" y="28"/>
                  <a:pt x="30" y="28"/>
                </a:cubicBezTo>
                <a:cubicBezTo>
                  <a:pt x="28" y="33"/>
                  <a:pt x="25" y="40"/>
                  <a:pt x="21" y="44"/>
                </a:cubicBezTo>
                <a:cubicBezTo>
                  <a:pt x="19" y="50"/>
                  <a:pt x="18" y="56"/>
                  <a:pt x="14" y="60"/>
                </a:cubicBezTo>
                <a:cubicBezTo>
                  <a:pt x="13" y="66"/>
                  <a:pt x="11" y="73"/>
                  <a:pt x="8" y="79"/>
                </a:cubicBezTo>
                <a:cubicBezTo>
                  <a:pt x="7" y="82"/>
                  <a:pt x="4" y="87"/>
                  <a:pt x="4" y="87"/>
                </a:cubicBezTo>
                <a:cubicBezTo>
                  <a:pt x="4" y="94"/>
                  <a:pt x="7" y="107"/>
                  <a:pt x="0" y="107"/>
                </a:cubicBezTo>
              </a:path>
            </a:pathLst>
          </a:custGeom>
          <a:noFill/>
          <a:ln w="19050" cmpd="sng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Freeform 14">
            <a:extLst>
              <a:ext uri="{FF2B5EF4-FFF2-40B4-BE49-F238E27FC236}">
                <a16:creationId xmlns:a16="http://schemas.microsoft.com/office/drawing/2014/main" id="{E45A6F10-E95B-6E3F-8184-B8402CFE5CA9}"/>
              </a:ext>
            </a:extLst>
          </xdr:cNvPr>
          <xdr:cNvSpPr>
            <a:spLocks/>
          </xdr:cNvSpPr>
        </xdr:nvSpPr>
        <xdr:spPr bwMode="auto">
          <a:xfrm>
            <a:off x="10988676" y="298450"/>
            <a:ext cx="2565400" cy="1651000"/>
          </a:xfrm>
          <a:custGeom>
            <a:avLst/>
            <a:gdLst>
              <a:gd name="T0" fmla="*/ 2147483646 w 286"/>
              <a:gd name="T1" fmla="*/ 2147483646 h 179"/>
              <a:gd name="T2" fmla="*/ 2147483646 w 286"/>
              <a:gd name="T3" fmla="*/ 2147483646 h 179"/>
              <a:gd name="T4" fmla="*/ 0 w 286"/>
              <a:gd name="T5" fmla="*/ 2147483646 h 179"/>
              <a:gd name="T6" fmla="*/ 2147483646 w 286"/>
              <a:gd name="T7" fmla="*/ 2147483646 h 179"/>
              <a:gd name="T8" fmla="*/ 2147483646 w 286"/>
              <a:gd name="T9" fmla="*/ 2147483646 h 179"/>
              <a:gd name="T10" fmla="*/ 2147483646 w 286"/>
              <a:gd name="T11" fmla="*/ 2147483646 h 179"/>
              <a:gd name="T12" fmla="*/ 2147483646 w 286"/>
              <a:gd name="T13" fmla="*/ 2147483646 h 179"/>
              <a:gd name="T14" fmla="*/ 2147483646 w 286"/>
              <a:gd name="T15" fmla="*/ 2147483646 h 179"/>
              <a:gd name="T16" fmla="*/ 2147483646 w 286"/>
              <a:gd name="T17" fmla="*/ 2147483646 h 179"/>
              <a:gd name="T18" fmla="*/ 2147483646 w 286"/>
              <a:gd name="T19" fmla="*/ 2147483646 h 179"/>
              <a:gd name="T20" fmla="*/ 2147483646 w 286"/>
              <a:gd name="T21" fmla="*/ 2147483646 h 179"/>
              <a:gd name="T22" fmla="*/ 2147483646 w 286"/>
              <a:gd name="T23" fmla="*/ 2147483646 h 179"/>
              <a:gd name="T24" fmla="*/ 2147483646 w 286"/>
              <a:gd name="T25" fmla="*/ 2147483646 h 179"/>
              <a:gd name="T26" fmla="*/ 2147483646 w 286"/>
              <a:gd name="T27" fmla="*/ 2147483646 h 179"/>
              <a:gd name="T28" fmla="*/ 2147483646 w 286"/>
              <a:gd name="T29" fmla="*/ 2147483646 h 179"/>
              <a:gd name="T30" fmla="*/ 2147483646 w 286"/>
              <a:gd name="T31" fmla="*/ 2147483646 h 179"/>
              <a:gd name="T32" fmla="*/ 2147483646 w 286"/>
              <a:gd name="T33" fmla="*/ 2147483646 h 179"/>
              <a:gd name="T34" fmla="*/ 2147483646 w 286"/>
              <a:gd name="T35" fmla="*/ 2147483646 h 179"/>
              <a:gd name="T36" fmla="*/ 2147483646 w 286"/>
              <a:gd name="T37" fmla="*/ 2147483646 h 179"/>
              <a:gd name="T38" fmla="*/ 2147483646 w 286"/>
              <a:gd name="T39" fmla="*/ 2147483646 h 179"/>
              <a:gd name="T40" fmla="*/ 2147483646 w 286"/>
              <a:gd name="T41" fmla="*/ 2147483646 h 179"/>
              <a:gd name="T42" fmla="*/ 2147483646 w 286"/>
              <a:gd name="T43" fmla="*/ 2147483646 h 179"/>
              <a:gd name="T44" fmla="*/ 2147483646 w 286"/>
              <a:gd name="T45" fmla="*/ 2147483646 h 179"/>
              <a:gd name="T46" fmla="*/ 2147483646 w 286"/>
              <a:gd name="T47" fmla="*/ 2147483646 h 179"/>
              <a:gd name="T48" fmla="*/ 2147483646 w 286"/>
              <a:gd name="T49" fmla="*/ 0 h 1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86"/>
              <a:gd name="T76" fmla="*/ 0 h 179"/>
              <a:gd name="T77" fmla="*/ 286 w 286"/>
              <a:gd name="T78" fmla="*/ 179 h 1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86" h="179">
                <a:moveTo>
                  <a:pt x="10" y="111"/>
                </a:moveTo>
                <a:cubicBezTo>
                  <a:pt x="9" y="116"/>
                  <a:pt x="8" y="117"/>
                  <a:pt x="4" y="120"/>
                </a:cubicBezTo>
                <a:cubicBezTo>
                  <a:pt x="3" y="124"/>
                  <a:pt x="1" y="129"/>
                  <a:pt x="0" y="133"/>
                </a:cubicBezTo>
                <a:cubicBezTo>
                  <a:pt x="1" y="165"/>
                  <a:pt x="2" y="164"/>
                  <a:pt x="25" y="179"/>
                </a:cubicBezTo>
                <a:cubicBezTo>
                  <a:pt x="41" y="178"/>
                  <a:pt x="34" y="179"/>
                  <a:pt x="47" y="175"/>
                </a:cubicBezTo>
                <a:cubicBezTo>
                  <a:pt x="51" y="174"/>
                  <a:pt x="58" y="172"/>
                  <a:pt x="58" y="172"/>
                </a:cubicBezTo>
                <a:cubicBezTo>
                  <a:pt x="60" y="167"/>
                  <a:pt x="63" y="164"/>
                  <a:pt x="65" y="159"/>
                </a:cubicBezTo>
                <a:cubicBezTo>
                  <a:pt x="65" y="159"/>
                  <a:pt x="67" y="152"/>
                  <a:pt x="68" y="150"/>
                </a:cubicBezTo>
                <a:cubicBezTo>
                  <a:pt x="68" y="149"/>
                  <a:pt x="69" y="147"/>
                  <a:pt x="69" y="147"/>
                </a:cubicBezTo>
                <a:cubicBezTo>
                  <a:pt x="68" y="124"/>
                  <a:pt x="59" y="109"/>
                  <a:pt x="81" y="98"/>
                </a:cubicBezTo>
                <a:cubicBezTo>
                  <a:pt x="90" y="101"/>
                  <a:pt x="96" y="109"/>
                  <a:pt x="101" y="117"/>
                </a:cubicBezTo>
                <a:cubicBezTo>
                  <a:pt x="103" y="125"/>
                  <a:pt x="107" y="126"/>
                  <a:pt x="114" y="128"/>
                </a:cubicBezTo>
                <a:cubicBezTo>
                  <a:pt x="135" y="127"/>
                  <a:pt x="126" y="126"/>
                  <a:pt x="137" y="115"/>
                </a:cubicBezTo>
                <a:cubicBezTo>
                  <a:pt x="140" y="102"/>
                  <a:pt x="146" y="101"/>
                  <a:pt x="158" y="97"/>
                </a:cubicBezTo>
                <a:cubicBezTo>
                  <a:pt x="174" y="101"/>
                  <a:pt x="174" y="122"/>
                  <a:pt x="188" y="131"/>
                </a:cubicBezTo>
                <a:cubicBezTo>
                  <a:pt x="191" y="135"/>
                  <a:pt x="194" y="138"/>
                  <a:pt x="199" y="140"/>
                </a:cubicBezTo>
                <a:cubicBezTo>
                  <a:pt x="208" y="139"/>
                  <a:pt x="217" y="137"/>
                  <a:pt x="225" y="134"/>
                </a:cubicBezTo>
                <a:cubicBezTo>
                  <a:pt x="229" y="129"/>
                  <a:pt x="233" y="125"/>
                  <a:pt x="237" y="121"/>
                </a:cubicBezTo>
                <a:cubicBezTo>
                  <a:pt x="239" y="115"/>
                  <a:pt x="242" y="110"/>
                  <a:pt x="244" y="105"/>
                </a:cubicBezTo>
                <a:cubicBezTo>
                  <a:pt x="245" y="103"/>
                  <a:pt x="246" y="99"/>
                  <a:pt x="246" y="99"/>
                </a:cubicBezTo>
                <a:cubicBezTo>
                  <a:pt x="246" y="92"/>
                  <a:pt x="241" y="68"/>
                  <a:pt x="252" y="61"/>
                </a:cubicBezTo>
                <a:cubicBezTo>
                  <a:pt x="257" y="53"/>
                  <a:pt x="266" y="51"/>
                  <a:pt x="273" y="44"/>
                </a:cubicBezTo>
                <a:cubicBezTo>
                  <a:pt x="274" y="41"/>
                  <a:pt x="276" y="37"/>
                  <a:pt x="277" y="34"/>
                </a:cubicBezTo>
                <a:cubicBezTo>
                  <a:pt x="278" y="27"/>
                  <a:pt x="278" y="18"/>
                  <a:pt x="281" y="12"/>
                </a:cubicBezTo>
                <a:cubicBezTo>
                  <a:pt x="283" y="8"/>
                  <a:pt x="286" y="0"/>
                  <a:pt x="286" y="0"/>
                </a:cubicBezTo>
              </a:path>
            </a:pathLst>
          </a:custGeom>
          <a:noFill/>
          <a:ln w="19050" cmpd="sng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Freeform 15">
            <a:extLst>
              <a:ext uri="{FF2B5EF4-FFF2-40B4-BE49-F238E27FC236}">
                <a16:creationId xmlns:a16="http://schemas.microsoft.com/office/drawing/2014/main" id="{78385BD1-DD19-DFC8-65A3-CCFC1C2FEA4F}"/>
              </a:ext>
            </a:extLst>
          </xdr:cNvPr>
          <xdr:cNvSpPr>
            <a:spLocks/>
          </xdr:cNvSpPr>
        </xdr:nvSpPr>
        <xdr:spPr bwMode="auto">
          <a:xfrm>
            <a:off x="10906125" y="304800"/>
            <a:ext cx="2562225" cy="1651000"/>
          </a:xfrm>
          <a:custGeom>
            <a:avLst/>
            <a:gdLst>
              <a:gd name="T0" fmla="*/ 2147483646 w 286"/>
              <a:gd name="T1" fmla="*/ 2147483646 h 179"/>
              <a:gd name="T2" fmla="*/ 2147483646 w 286"/>
              <a:gd name="T3" fmla="*/ 2147483646 h 179"/>
              <a:gd name="T4" fmla="*/ 0 w 286"/>
              <a:gd name="T5" fmla="*/ 2147483646 h 179"/>
              <a:gd name="T6" fmla="*/ 2147483646 w 286"/>
              <a:gd name="T7" fmla="*/ 2147483646 h 179"/>
              <a:gd name="T8" fmla="*/ 2147483646 w 286"/>
              <a:gd name="T9" fmla="*/ 2147483646 h 179"/>
              <a:gd name="T10" fmla="*/ 2147483646 w 286"/>
              <a:gd name="T11" fmla="*/ 2147483646 h 179"/>
              <a:gd name="T12" fmla="*/ 2147483646 w 286"/>
              <a:gd name="T13" fmla="*/ 2147483646 h 179"/>
              <a:gd name="T14" fmla="*/ 2147483646 w 286"/>
              <a:gd name="T15" fmla="*/ 2147483646 h 179"/>
              <a:gd name="T16" fmla="*/ 2147483646 w 286"/>
              <a:gd name="T17" fmla="*/ 2147483646 h 179"/>
              <a:gd name="T18" fmla="*/ 2147483646 w 286"/>
              <a:gd name="T19" fmla="*/ 2147483646 h 179"/>
              <a:gd name="T20" fmla="*/ 2147483646 w 286"/>
              <a:gd name="T21" fmla="*/ 2147483646 h 179"/>
              <a:gd name="T22" fmla="*/ 2147483646 w 286"/>
              <a:gd name="T23" fmla="*/ 2147483646 h 179"/>
              <a:gd name="T24" fmla="*/ 2147483646 w 286"/>
              <a:gd name="T25" fmla="*/ 2147483646 h 179"/>
              <a:gd name="T26" fmla="*/ 2147483646 w 286"/>
              <a:gd name="T27" fmla="*/ 2147483646 h 179"/>
              <a:gd name="T28" fmla="*/ 2147483646 w 286"/>
              <a:gd name="T29" fmla="*/ 2147483646 h 179"/>
              <a:gd name="T30" fmla="*/ 2147483646 w 286"/>
              <a:gd name="T31" fmla="*/ 2147483646 h 179"/>
              <a:gd name="T32" fmla="*/ 2147483646 w 286"/>
              <a:gd name="T33" fmla="*/ 2147483646 h 179"/>
              <a:gd name="T34" fmla="*/ 2147483646 w 286"/>
              <a:gd name="T35" fmla="*/ 2147483646 h 179"/>
              <a:gd name="T36" fmla="*/ 2147483646 w 286"/>
              <a:gd name="T37" fmla="*/ 2147483646 h 179"/>
              <a:gd name="T38" fmla="*/ 2147483646 w 286"/>
              <a:gd name="T39" fmla="*/ 2147483646 h 179"/>
              <a:gd name="T40" fmla="*/ 2147483646 w 286"/>
              <a:gd name="T41" fmla="*/ 2147483646 h 179"/>
              <a:gd name="T42" fmla="*/ 2147483646 w 286"/>
              <a:gd name="T43" fmla="*/ 2147483646 h 179"/>
              <a:gd name="T44" fmla="*/ 2147483646 w 286"/>
              <a:gd name="T45" fmla="*/ 2147483646 h 179"/>
              <a:gd name="T46" fmla="*/ 2147483646 w 286"/>
              <a:gd name="T47" fmla="*/ 2147483646 h 179"/>
              <a:gd name="T48" fmla="*/ 2147483646 w 286"/>
              <a:gd name="T49" fmla="*/ 0 h 1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86"/>
              <a:gd name="T76" fmla="*/ 0 h 179"/>
              <a:gd name="T77" fmla="*/ 286 w 286"/>
              <a:gd name="T78" fmla="*/ 179 h 1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86" h="179">
                <a:moveTo>
                  <a:pt x="10" y="111"/>
                </a:moveTo>
                <a:cubicBezTo>
                  <a:pt x="9" y="116"/>
                  <a:pt x="8" y="117"/>
                  <a:pt x="4" y="120"/>
                </a:cubicBezTo>
                <a:cubicBezTo>
                  <a:pt x="3" y="124"/>
                  <a:pt x="1" y="129"/>
                  <a:pt x="0" y="133"/>
                </a:cubicBezTo>
                <a:cubicBezTo>
                  <a:pt x="1" y="165"/>
                  <a:pt x="2" y="164"/>
                  <a:pt x="25" y="179"/>
                </a:cubicBezTo>
                <a:cubicBezTo>
                  <a:pt x="41" y="178"/>
                  <a:pt x="34" y="179"/>
                  <a:pt x="47" y="175"/>
                </a:cubicBezTo>
                <a:cubicBezTo>
                  <a:pt x="51" y="174"/>
                  <a:pt x="58" y="172"/>
                  <a:pt x="58" y="172"/>
                </a:cubicBezTo>
                <a:cubicBezTo>
                  <a:pt x="60" y="167"/>
                  <a:pt x="63" y="164"/>
                  <a:pt x="65" y="159"/>
                </a:cubicBezTo>
                <a:cubicBezTo>
                  <a:pt x="65" y="159"/>
                  <a:pt x="67" y="152"/>
                  <a:pt x="68" y="150"/>
                </a:cubicBezTo>
                <a:cubicBezTo>
                  <a:pt x="68" y="149"/>
                  <a:pt x="69" y="147"/>
                  <a:pt x="69" y="147"/>
                </a:cubicBezTo>
                <a:cubicBezTo>
                  <a:pt x="68" y="124"/>
                  <a:pt x="59" y="109"/>
                  <a:pt x="81" y="98"/>
                </a:cubicBezTo>
                <a:cubicBezTo>
                  <a:pt x="90" y="101"/>
                  <a:pt x="96" y="109"/>
                  <a:pt x="101" y="117"/>
                </a:cubicBezTo>
                <a:cubicBezTo>
                  <a:pt x="103" y="125"/>
                  <a:pt x="107" y="126"/>
                  <a:pt x="114" y="128"/>
                </a:cubicBezTo>
                <a:cubicBezTo>
                  <a:pt x="135" y="127"/>
                  <a:pt x="126" y="126"/>
                  <a:pt x="137" y="115"/>
                </a:cubicBezTo>
                <a:cubicBezTo>
                  <a:pt x="140" y="102"/>
                  <a:pt x="146" y="101"/>
                  <a:pt x="158" y="97"/>
                </a:cubicBezTo>
                <a:cubicBezTo>
                  <a:pt x="174" y="101"/>
                  <a:pt x="174" y="122"/>
                  <a:pt x="188" y="131"/>
                </a:cubicBezTo>
                <a:cubicBezTo>
                  <a:pt x="191" y="135"/>
                  <a:pt x="194" y="138"/>
                  <a:pt x="199" y="140"/>
                </a:cubicBezTo>
                <a:cubicBezTo>
                  <a:pt x="208" y="139"/>
                  <a:pt x="217" y="137"/>
                  <a:pt x="225" y="134"/>
                </a:cubicBezTo>
                <a:cubicBezTo>
                  <a:pt x="229" y="129"/>
                  <a:pt x="233" y="125"/>
                  <a:pt x="237" y="121"/>
                </a:cubicBezTo>
                <a:cubicBezTo>
                  <a:pt x="239" y="115"/>
                  <a:pt x="242" y="110"/>
                  <a:pt x="244" y="105"/>
                </a:cubicBezTo>
                <a:cubicBezTo>
                  <a:pt x="245" y="103"/>
                  <a:pt x="246" y="99"/>
                  <a:pt x="246" y="99"/>
                </a:cubicBezTo>
                <a:cubicBezTo>
                  <a:pt x="246" y="92"/>
                  <a:pt x="241" y="68"/>
                  <a:pt x="252" y="61"/>
                </a:cubicBezTo>
                <a:cubicBezTo>
                  <a:pt x="257" y="53"/>
                  <a:pt x="266" y="51"/>
                  <a:pt x="273" y="44"/>
                </a:cubicBezTo>
                <a:cubicBezTo>
                  <a:pt x="274" y="41"/>
                  <a:pt x="276" y="37"/>
                  <a:pt x="277" y="34"/>
                </a:cubicBezTo>
                <a:cubicBezTo>
                  <a:pt x="278" y="27"/>
                  <a:pt x="278" y="18"/>
                  <a:pt x="281" y="12"/>
                </a:cubicBezTo>
                <a:cubicBezTo>
                  <a:pt x="283" y="8"/>
                  <a:pt x="286" y="0"/>
                  <a:pt x="286" y="0"/>
                </a:cubicBezTo>
              </a:path>
            </a:pathLst>
          </a:custGeom>
          <a:noFill/>
          <a:ln w="19050" cmpd="sng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67236</xdr:colOff>
      <xdr:row>31</xdr:row>
      <xdr:rowOff>78163</xdr:rowOff>
    </xdr:from>
    <xdr:to>
      <xdr:col>10</xdr:col>
      <xdr:colOff>856712</xdr:colOff>
      <xdr:row>60</xdr:row>
      <xdr:rowOff>1870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4BF6D4F-9EDE-4B5D-9A56-B07C5E05A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60</xdr:row>
      <xdr:rowOff>66675</xdr:rowOff>
    </xdr:from>
    <xdr:to>
      <xdr:col>10</xdr:col>
      <xdr:colOff>781050</xdr:colOff>
      <xdr:row>67</xdr:row>
      <xdr:rowOff>85725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D8DAD677-171E-4EFA-B77E-15A2CC9582A0}"/>
            </a:ext>
          </a:extLst>
        </xdr:cNvPr>
        <xdr:cNvSpPr txBox="1"/>
      </xdr:nvSpPr>
      <xdr:spPr>
        <a:xfrm>
          <a:off x="28575" y="13963650"/>
          <a:ext cx="10077450" cy="141922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 b="1">
              <a:solidFill>
                <a:srgbClr val="0070C0"/>
              </a:solidFill>
            </a:rPr>
            <a:t>Kommentarer :</a:t>
          </a:r>
          <a:br>
            <a:rPr lang="nb-NO" sz="1100" b="1">
              <a:solidFill>
                <a:srgbClr val="0070C0"/>
              </a:solidFill>
            </a:rPr>
          </a:br>
          <a:r>
            <a:rPr lang="nb-NO" sz="1100" b="1">
              <a:solidFill>
                <a:srgbClr val="0070C0"/>
              </a:solidFill>
            </a:rPr>
            <a:t>Trofors</a:t>
          </a:r>
          <a:r>
            <a:rPr lang="nb-NO" sz="1100" b="1" baseline="0">
              <a:solidFill>
                <a:srgbClr val="0070C0"/>
              </a:solidFill>
            </a:rPr>
            <a:t> lå mot samleskinne A</a:t>
          </a:r>
        </a:p>
        <a:p>
          <a:r>
            <a:rPr lang="nb-NO" sz="1100" b="1" baseline="0">
              <a:solidFill>
                <a:srgbClr val="0070C0"/>
              </a:solidFill>
            </a:rPr>
            <a:t>Nrø lå mot samleskinne B</a:t>
          </a:r>
          <a:endParaRPr lang="nb-NO" sz="1100" b="1">
            <a:solidFill>
              <a:srgbClr val="0070C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3A80-1A5E-45D3-9DF8-093C49C307E3}">
  <dimension ref="A1:A42"/>
  <sheetViews>
    <sheetView zoomScale="115" zoomScaleNormal="115" workbookViewId="0">
      <selection activeCell="A10" sqref="A10"/>
    </sheetView>
  </sheetViews>
  <sheetFormatPr baseColWidth="10" defaultRowHeight="15" x14ac:dyDescent="0.2"/>
  <cols>
    <col min="1" max="1" width="129.5703125" style="49" customWidth="1"/>
    <col min="2" max="16384" width="11.42578125" style="49"/>
  </cols>
  <sheetData>
    <row r="1" spans="1:1" x14ac:dyDescent="0.2">
      <c r="A1" s="48" t="s">
        <v>30</v>
      </c>
    </row>
    <row r="2" spans="1:1" x14ac:dyDescent="0.2">
      <c r="A2" s="48"/>
    </row>
    <row r="3" spans="1:1" x14ac:dyDescent="0.2">
      <c r="A3" s="48"/>
    </row>
    <row r="4" spans="1:1" x14ac:dyDescent="0.2">
      <c r="A4" s="48"/>
    </row>
    <row r="5" spans="1:1" x14ac:dyDescent="0.2">
      <c r="A5" s="48"/>
    </row>
    <row r="6" spans="1:1" x14ac:dyDescent="0.2">
      <c r="A6" s="48"/>
    </row>
    <row r="7" spans="1:1" x14ac:dyDescent="0.2">
      <c r="A7" s="48"/>
    </row>
    <row r="8" spans="1:1" x14ac:dyDescent="0.2">
      <c r="A8" s="48"/>
    </row>
    <row r="9" spans="1:1" x14ac:dyDescent="0.2">
      <c r="A9" s="48" t="s">
        <v>31</v>
      </c>
    </row>
    <row r="10" spans="1:1" x14ac:dyDescent="0.2">
      <c r="A10" s="48"/>
    </row>
    <row r="11" spans="1:1" ht="18" x14ac:dyDescent="0.2">
      <c r="A11" s="50" t="s">
        <v>32</v>
      </c>
    </row>
    <row r="12" spans="1:1" x14ac:dyDescent="0.2">
      <c r="A12" s="51" t="s">
        <v>33</v>
      </c>
    </row>
    <row r="13" spans="1:1" x14ac:dyDescent="0.2">
      <c r="A13" s="51" t="s">
        <v>34</v>
      </c>
    </row>
    <row r="14" spans="1:1" ht="30" x14ac:dyDescent="0.2">
      <c r="A14" s="51" t="s">
        <v>35</v>
      </c>
    </row>
    <row r="15" spans="1:1" ht="18" x14ac:dyDescent="0.2">
      <c r="A15" s="50" t="s">
        <v>36</v>
      </c>
    </row>
    <row r="16" spans="1:1" x14ac:dyDescent="0.2">
      <c r="A16" s="51" t="s">
        <v>37</v>
      </c>
    </row>
    <row r="17" spans="1:1" x14ac:dyDescent="0.2">
      <c r="A17" s="51" t="s">
        <v>38</v>
      </c>
    </row>
    <row r="18" spans="1:1" ht="30" x14ac:dyDescent="0.2">
      <c r="A18" s="51" t="s">
        <v>39</v>
      </c>
    </row>
    <row r="19" spans="1:1" ht="30" x14ac:dyDescent="0.2">
      <c r="A19" s="51" t="s">
        <v>40</v>
      </c>
    </row>
    <row r="20" spans="1:1" ht="18" x14ac:dyDescent="0.2">
      <c r="A20" s="50" t="s">
        <v>41</v>
      </c>
    </row>
    <row r="21" spans="1:1" x14ac:dyDescent="0.2">
      <c r="A21" s="51" t="s">
        <v>42</v>
      </c>
    </row>
    <row r="22" spans="1:1" ht="45" x14ac:dyDescent="0.2">
      <c r="A22" s="51" t="s">
        <v>43</v>
      </c>
    </row>
    <row r="23" spans="1:1" x14ac:dyDescent="0.2">
      <c r="A23" s="51" t="s">
        <v>44</v>
      </c>
    </row>
    <row r="24" spans="1:1" ht="30" x14ac:dyDescent="0.2">
      <c r="A24" s="51" t="s">
        <v>45</v>
      </c>
    </row>
    <row r="25" spans="1:1" ht="18" x14ac:dyDescent="0.2">
      <c r="A25" s="50" t="s">
        <v>46</v>
      </c>
    </row>
    <row r="26" spans="1:1" x14ac:dyDescent="0.2">
      <c r="A26" s="51" t="s">
        <v>47</v>
      </c>
    </row>
    <row r="27" spans="1:1" ht="30" x14ac:dyDescent="0.2">
      <c r="A27" s="51" t="s">
        <v>48</v>
      </c>
    </row>
    <row r="28" spans="1:1" ht="30" x14ac:dyDescent="0.2">
      <c r="A28" s="51" t="s">
        <v>49</v>
      </c>
    </row>
    <row r="29" spans="1:1" ht="30" x14ac:dyDescent="0.2">
      <c r="A29" s="51" t="s">
        <v>50</v>
      </c>
    </row>
    <row r="30" spans="1:1" x14ac:dyDescent="0.2">
      <c r="A30" s="51" t="s">
        <v>51</v>
      </c>
    </row>
    <row r="31" spans="1:1" x14ac:dyDescent="0.2">
      <c r="A31" s="51" t="s">
        <v>52</v>
      </c>
    </row>
    <row r="32" spans="1:1" x14ac:dyDescent="0.2">
      <c r="A32" s="51" t="s">
        <v>53</v>
      </c>
    </row>
    <row r="33" spans="1:1" ht="18" x14ac:dyDescent="0.2">
      <c r="A33" s="50" t="s">
        <v>54</v>
      </c>
    </row>
    <row r="34" spans="1:1" x14ac:dyDescent="0.2">
      <c r="A34" s="51" t="s">
        <v>55</v>
      </c>
    </row>
    <row r="35" spans="1:1" x14ac:dyDescent="0.2">
      <c r="A35" s="51" t="s">
        <v>56</v>
      </c>
    </row>
    <row r="36" spans="1:1" ht="30" customHeight="1" x14ac:dyDescent="0.2">
      <c r="A36" s="51" t="s">
        <v>57</v>
      </c>
    </row>
    <row r="37" spans="1:1" ht="15" customHeight="1" x14ac:dyDescent="0.2">
      <c r="A37" s="51" t="s">
        <v>58</v>
      </c>
    </row>
    <row r="38" spans="1:1" ht="30" x14ac:dyDescent="0.2">
      <c r="A38" s="51" t="s">
        <v>59</v>
      </c>
    </row>
    <row r="39" spans="1:1" ht="18" x14ac:dyDescent="0.2">
      <c r="A39" s="50" t="s">
        <v>60</v>
      </c>
    </row>
    <row r="40" spans="1:1" x14ac:dyDescent="0.2">
      <c r="A40" s="49" t="s">
        <v>61</v>
      </c>
    </row>
    <row r="41" spans="1:1" x14ac:dyDescent="0.2">
      <c r="A41" s="49" t="s">
        <v>62</v>
      </c>
    </row>
    <row r="42" spans="1:1" x14ac:dyDescent="0.2">
      <c r="A42" s="49" t="s">
        <v>63</v>
      </c>
    </row>
  </sheetData>
  <sheetProtection algorithmName="SHA-512" hashValue="8q34ybcpxBOR5eW92hmmm54zZn6UTYp1KZKZuohXJoB5SW7/YtwCIVKiiT5r1Y2a2bwkxqXJRSkOf4r6ecof0w==" saltValue="92/mr+Rzm7SDFG/rFjuhBA==" spinCount="100000" sheet="1" objects="1" scenarios="1"/>
  <pageMargins left="0.70866141732283472" right="0.51181102362204722" top="0.15748031496062992" bottom="0.15748031496062992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topLeftCell="A2" zoomScale="85" zoomScaleNormal="85" workbookViewId="0">
      <selection activeCell="F14" sqref="F14"/>
    </sheetView>
  </sheetViews>
  <sheetFormatPr baseColWidth="10" defaultRowHeight="15.75" x14ac:dyDescent="0.25"/>
  <cols>
    <col min="1" max="1" width="20.28515625" customWidth="1"/>
    <col min="2" max="2" width="15.85546875" customWidth="1"/>
    <col min="3" max="3" width="16.140625" customWidth="1"/>
    <col min="4" max="4" width="16.7109375" customWidth="1"/>
    <col min="5" max="5" width="14.7109375" customWidth="1"/>
    <col min="6" max="6" width="15.85546875" customWidth="1"/>
    <col min="7" max="7" width="16.7109375" customWidth="1"/>
    <col min="8" max="8" width="13.28515625" customWidth="1"/>
    <col min="9" max="9" width="20.5703125" customWidth="1"/>
    <col min="10" max="11" width="13.28515625" customWidth="1"/>
    <col min="12" max="12" width="13.85546875" style="3" customWidth="1"/>
    <col min="13" max="13" width="13.85546875" customWidth="1"/>
  </cols>
  <sheetData>
    <row r="1" spans="1:17" ht="36.75" customHeight="1" x14ac:dyDescent="0.25">
      <c r="A1" s="1" t="s">
        <v>0</v>
      </c>
      <c r="B1" s="58" t="s">
        <v>67</v>
      </c>
      <c r="C1" s="58"/>
      <c r="E1" s="59" t="s">
        <v>1</v>
      </c>
      <c r="F1" s="60"/>
      <c r="G1" s="2" t="s">
        <v>2</v>
      </c>
      <c r="H1" s="2" t="s">
        <v>3</v>
      </c>
      <c r="I1" s="2" t="s">
        <v>4</v>
      </c>
      <c r="J1" s="61" t="s">
        <v>5</v>
      </c>
      <c r="K1" s="62"/>
      <c r="M1" s="3"/>
      <c r="N1" s="3"/>
      <c r="O1" s="3"/>
      <c r="P1" s="3"/>
      <c r="Q1" s="3"/>
    </row>
    <row r="2" spans="1:17" x14ac:dyDescent="0.25">
      <c r="A2" s="4" t="s">
        <v>6</v>
      </c>
      <c r="B2" s="63">
        <v>46070</v>
      </c>
      <c r="C2" s="63"/>
      <c r="E2" s="5" t="s">
        <v>7</v>
      </c>
      <c r="F2" s="5"/>
      <c r="G2" s="6"/>
      <c r="H2" s="6"/>
      <c r="I2" s="7"/>
      <c r="J2" s="64"/>
      <c r="K2" s="65"/>
      <c r="M2" s="3"/>
      <c r="N2" s="3"/>
      <c r="O2" s="3"/>
      <c r="P2" s="3"/>
      <c r="Q2" s="3"/>
    </row>
    <row r="3" spans="1:17" x14ac:dyDescent="0.25">
      <c r="A3" s="4" t="s">
        <v>8</v>
      </c>
      <c r="B3" s="66" t="s">
        <v>76</v>
      </c>
      <c r="C3" s="66"/>
      <c r="E3" s="8" t="s">
        <v>9</v>
      </c>
      <c r="F3" s="8"/>
      <c r="G3" s="6"/>
      <c r="H3" s="6"/>
      <c r="I3" s="7"/>
      <c r="J3" s="64"/>
      <c r="K3" s="65"/>
      <c r="M3" s="3"/>
      <c r="N3" s="3"/>
      <c r="O3" s="3"/>
      <c r="P3" s="3"/>
      <c r="Q3" s="3"/>
    </row>
    <row r="4" spans="1:17" x14ac:dyDescent="0.25">
      <c r="A4" s="67" t="s">
        <v>10</v>
      </c>
      <c r="B4" s="67"/>
      <c r="C4" s="67"/>
      <c r="D4" s="67"/>
      <c r="E4" s="67"/>
      <c r="F4" s="67"/>
      <c r="G4" s="67"/>
      <c r="H4" t="s">
        <v>11</v>
      </c>
      <c r="I4" s="9"/>
      <c r="J4" s="10">
        <v>110</v>
      </c>
      <c r="K4" s="11">
        <f>J4/SQRT(3)</f>
        <v>63.508529610858837</v>
      </c>
      <c r="M4" s="3"/>
      <c r="N4" s="3"/>
      <c r="O4" s="3"/>
      <c r="P4" s="3"/>
      <c r="Q4" s="3"/>
    </row>
    <row r="5" spans="1:17" ht="16.5" thickBot="1" x14ac:dyDescent="0.3">
      <c r="A5" s="68"/>
      <c r="B5" s="68"/>
      <c r="C5" s="68"/>
      <c r="D5" s="68"/>
      <c r="E5" s="68"/>
      <c r="F5" s="68"/>
      <c r="G5" s="68"/>
    </row>
    <row r="6" spans="1:17" x14ac:dyDescent="0.25">
      <c r="A6" s="12" t="s">
        <v>12</v>
      </c>
      <c r="B6" s="69" t="s">
        <v>68</v>
      </c>
      <c r="C6" s="56"/>
      <c r="D6" s="55" t="s">
        <v>69</v>
      </c>
      <c r="E6" s="56"/>
      <c r="F6" s="55" t="s">
        <v>70</v>
      </c>
      <c r="G6" s="56"/>
      <c r="H6" s="55" t="s">
        <v>71</v>
      </c>
      <c r="I6" s="56"/>
      <c r="J6" s="55"/>
      <c r="K6" s="57"/>
    </row>
    <row r="7" spans="1:17" x14ac:dyDescent="0.25">
      <c r="A7" s="13" t="s">
        <v>13</v>
      </c>
      <c r="B7" s="70"/>
      <c r="C7" s="71"/>
      <c r="D7" s="70"/>
      <c r="E7" s="71"/>
      <c r="F7" s="70"/>
      <c r="G7" s="71"/>
      <c r="H7" s="70"/>
      <c r="I7" s="71"/>
      <c r="J7" s="70"/>
      <c r="K7" s="71"/>
    </row>
    <row r="8" spans="1:17" x14ac:dyDescent="0.25">
      <c r="A8" s="13"/>
      <c r="B8" s="15" t="s">
        <v>14</v>
      </c>
      <c r="C8" s="16" t="s">
        <v>15</v>
      </c>
      <c r="D8" s="17" t="s">
        <v>14</v>
      </c>
      <c r="E8" s="16" t="s">
        <v>15</v>
      </c>
      <c r="F8" s="17" t="s">
        <v>14</v>
      </c>
      <c r="G8" s="16" t="s">
        <v>15</v>
      </c>
      <c r="H8" s="17" t="s">
        <v>14</v>
      </c>
      <c r="I8" s="16" t="s">
        <v>15</v>
      </c>
      <c r="J8" s="17"/>
      <c r="K8" s="18"/>
      <c r="M8" s="19"/>
    </row>
    <row r="9" spans="1:17" ht="19.5" x14ac:dyDescent="0.35">
      <c r="A9" s="13" t="s">
        <v>16</v>
      </c>
      <c r="B9" s="54"/>
      <c r="C9" s="20" t="str">
        <f>IF(B13&lt;&gt;"",(C13-B13),"")</f>
        <v/>
      </c>
      <c r="D9" s="53"/>
      <c r="E9" s="20" t="str">
        <f>IF(D13&lt;&gt;"",(E13-D13),"")</f>
        <v/>
      </c>
      <c r="F9" s="54" t="s">
        <v>64</v>
      </c>
      <c r="G9" s="20" t="str">
        <f>IF(F13&lt;&gt;"",(G13-F13),"")</f>
        <v/>
      </c>
      <c r="H9" s="54" t="s">
        <v>64</v>
      </c>
      <c r="I9" s="20" t="str">
        <f>IF(H13&lt;&gt;"",(I13-H13),"")</f>
        <v/>
      </c>
      <c r="J9" s="52"/>
      <c r="K9" s="20"/>
      <c r="L9" s="21"/>
    </row>
    <row r="10" spans="1:17" ht="19.5" x14ac:dyDescent="0.35">
      <c r="A10" s="13" t="s">
        <v>17</v>
      </c>
      <c r="B10" s="54" t="s">
        <v>72</v>
      </c>
      <c r="C10" s="20" t="str">
        <f t="shared" ref="C10:E11" si="0">IF(B14&lt;&gt;"",(C14-B14),"")</f>
        <v/>
      </c>
      <c r="D10" s="54" t="s">
        <v>73</v>
      </c>
      <c r="E10" s="20" t="str">
        <f t="shared" si="0"/>
        <v/>
      </c>
      <c r="F10" s="54" t="s">
        <v>65</v>
      </c>
      <c r="G10" s="20"/>
      <c r="H10" s="54" t="s">
        <v>65</v>
      </c>
      <c r="I10" s="20" t="str">
        <f t="shared" ref="I10:I11" si="1">IF(H14&lt;&gt;"",(I14-H14),"")</f>
        <v/>
      </c>
      <c r="J10" s="52"/>
      <c r="K10" s="20"/>
      <c r="L10" s="21"/>
    </row>
    <row r="11" spans="1:17" ht="19.5" x14ac:dyDescent="0.35">
      <c r="A11" s="13" t="s">
        <v>18</v>
      </c>
      <c r="B11" s="54"/>
      <c r="C11" s="20" t="str">
        <f t="shared" si="0"/>
        <v/>
      </c>
      <c r="D11" s="53"/>
      <c r="E11" s="20" t="str">
        <f t="shared" si="0"/>
        <v/>
      </c>
      <c r="F11" s="54" t="s">
        <v>66</v>
      </c>
      <c r="G11" s="20" t="str">
        <f t="shared" ref="G11" si="2">IF(F15&lt;&gt;"",(G15-F15),"")</f>
        <v/>
      </c>
      <c r="H11" s="54" t="s">
        <v>66</v>
      </c>
      <c r="I11" s="20" t="str">
        <f t="shared" si="1"/>
        <v/>
      </c>
      <c r="J11" s="52"/>
      <c r="K11" s="20"/>
      <c r="L11" s="21"/>
    </row>
    <row r="12" spans="1:17" x14ac:dyDescent="0.25">
      <c r="A12" s="13"/>
      <c r="B12" s="22" t="s">
        <v>19</v>
      </c>
      <c r="C12" s="23" t="s">
        <v>20</v>
      </c>
      <c r="D12" s="22" t="s">
        <v>19</v>
      </c>
      <c r="E12" s="23" t="s">
        <v>20</v>
      </c>
      <c r="F12" s="22" t="s">
        <v>19</v>
      </c>
      <c r="G12" s="23" t="s">
        <v>20</v>
      </c>
      <c r="H12" s="22" t="s">
        <v>19</v>
      </c>
      <c r="I12" s="23" t="s">
        <v>20</v>
      </c>
      <c r="J12" s="22" t="s">
        <v>19</v>
      </c>
      <c r="K12" s="24" t="s">
        <v>20</v>
      </c>
    </row>
    <row r="13" spans="1:17" ht="19.5" x14ac:dyDescent="0.35">
      <c r="A13" s="13" t="s">
        <v>16</v>
      </c>
      <c r="B13" s="25"/>
      <c r="C13" s="26"/>
      <c r="D13" s="25"/>
      <c r="E13" s="26"/>
      <c r="F13" s="25"/>
      <c r="G13" s="26"/>
      <c r="H13" s="25"/>
      <c r="I13" s="26"/>
      <c r="J13" s="25"/>
      <c r="K13" s="27"/>
    </row>
    <row r="14" spans="1:17" ht="19.5" x14ac:dyDescent="0.35">
      <c r="A14" s="13" t="s">
        <v>17</v>
      </c>
      <c r="B14" s="25"/>
      <c r="C14" s="26"/>
      <c r="D14" s="25"/>
      <c r="E14" s="26"/>
      <c r="F14" s="25"/>
      <c r="G14" s="26"/>
      <c r="H14" s="25"/>
      <c r="I14" s="26"/>
      <c r="J14" s="25"/>
      <c r="K14" s="27"/>
    </row>
    <row r="15" spans="1:17" ht="20.25" thickBot="1" x14ac:dyDescent="0.4">
      <c r="A15" s="28" t="s">
        <v>18</v>
      </c>
      <c r="B15" s="29"/>
      <c r="C15" s="30"/>
      <c r="D15" s="29"/>
      <c r="E15" s="30"/>
      <c r="F15" s="29"/>
      <c r="G15" s="30"/>
      <c r="H15" s="29"/>
      <c r="I15" s="30"/>
      <c r="J15" s="29"/>
      <c r="K15" s="31"/>
    </row>
    <row r="16" spans="1:17" s="35" customFormat="1" ht="17.25" thickBot="1" x14ac:dyDescent="0.35">
      <c r="A16" s="32"/>
      <c r="B16" s="33" t="s">
        <v>21</v>
      </c>
      <c r="C16" s="32"/>
      <c r="D16" s="32"/>
      <c r="E16" s="32"/>
      <c r="F16" s="32" t="s">
        <v>75</v>
      </c>
      <c r="G16" s="32"/>
      <c r="H16" s="32" t="s">
        <v>74</v>
      </c>
      <c r="I16" s="32"/>
      <c r="J16" s="32"/>
      <c r="K16" s="32"/>
      <c r="L16" s="34"/>
    </row>
    <row r="17" spans="1:13" ht="19.5" x14ac:dyDescent="0.4">
      <c r="A17" s="12" t="s">
        <v>12</v>
      </c>
      <c r="B17" s="69"/>
      <c r="C17" s="56"/>
      <c r="D17" s="55"/>
      <c r="E17" s="56"/>
      <c r="F17" s="55"/>
      <c r="G17" s="56"/>
      <c r="H17" s="55"/>
      <c r="I17" s="56"/>
      <c r="J17" s="81"/>
      <c r="K17" s="82"/>
      <c r="M17" s="36"/>
    </row>
    <row r="18" spans="1:13" ht="19.5" x14ac:dyDescent="0.4">
      <c r="A18" s="13" t="s">
        <v>13</v>
      </c>
      <c r="B18" s="83"/>
      <c r="C18" s="84"/>
      <c r="D18" s="85"/>
      <c r="E18" s="86"/>
      <c r="F18" s="87"/>
      <c r="G18" s="84"/>
      <c r="H18" s="87"/>
      <c r="I18" s="84"/>
      <c r="J18" s="83"/>
      <c r="K18" s="84"/>
      <c r="M18" s="36"/>
    </row>
    <row r="19" spans="1:13" ht="19.5" x14ac:dyDescent="0.4">
      <c r="A19" s="13"/>
      <c r="B19" s="15"/>
      <c r="C19" s="16"/>
      <c r="D19" s="17"/>
      <c r="E19" s="16"/>
      <c r="F19" s="17"/>
      <c r="G19" s="16"/>
      <c r="H19" s="17"/>
      <c r="I19" s="16"/>
      <c r="J19" s="17" t="s">
        <v>14</v>
      </c>
      <c r="K19" s="18" t="s">
        <v>15</v>
      </c>
      <c r="M19" s="36"/>
    </row>
    <row r="20" spans="1:13" ht="20.25" x14ac:dyDescent="0.4">
      <c r="A20" s="13" t="s">
        <v>16</v>
      </c>
      <c r="B20" s="52"/>
      <c r="C20" s="20"/>
      <c r="D20" s="53"/>
      <c r="E20" s="20"/>
      <c r="F20" s="52"/>
      <c r="G20" s="20"/>
      <c r="H20" s="52"/>
      <c r="I20" s="20"/>
      <c r="J20" s="14"/>
      <c r="K20" s="20" t="str">
        <f>IF(J24&lt;&gt;"",(K24-J24),"")</f>
        <v/>
      </c>
      <c r="M20" s="36"/>
    </row>
    <row r="21" spans="1:13" ht="20.25" x14ac:dyDescent="0.4">
      <c r="A21" s="13" t="s">
        <v>17</v>
      </c>
      <c r="B21" s="52"/>
      <c r="C21" s="20"/>
      <c r="D21" s="53"/>
      <c r="E21" s="20"/>
      <c r="F21" s="52"/>
      <c r="G21" s="20"/>
      <c r="H21" s="52"/>
      <c r="I21" s="20"/>
      <c r="J21" s="37"/>
      <c r="K21" s="20" t="str">
        <f t="shared" ref="K21:K22" si="3">IF(J25&lt;&gt;"",(K25-J25),"")</f>
        <v/>
      </c>
      <c r="M21" s="36"/>
    </row>
    <row r="22" spans="1:13" ht="19.5" x14ac:dyDescent="0.35">
      <c r="A22" s="13" t="s">
        <v>18</v>
      </c>
      <c r="B22" s="52"/>
      <c r="C22" s="20"/>
      <c r="D22" s="53"/>
      <c r="E22" s="20"/>
      <c r="F22" s="52"/>
      <c r="G22" s="20"/>
      <c r="H22" s="52"/>
      <c r="I22" s="20"/>
      <c r="J22" s="37"/>
      <c r="K22" s="20" t="str">
        <f t="shared" si="3"/>
        <v/>
      </c>
    </row>
    <row r="23" spans="1:13" x14ac:dyDescent="0.25">
      <c r="A23" s="13"/>
      <c r="B23" s="22" t="s">
        <v>19</v>
      </c>
      <c r="C23" s="23" t="s">
        <v>20</v>
      </c>
      <c r="D23" s="22" t="s">
        <v>19</v>
      </c>
      <c r="E23" s="23" t="s">
        <v>20</v>
      </c>
      <c r="F23" s="22" t="s">
        <v>19</v>
      </c>
      <c r="G23" s="23" t="s">
        <v>20</v>
      </c>
      <c r="H23" s="22" t="s">
        <v>19</v>
      </c>
      <c r="I23" s="23" t="s">
        <v>20</v>
      </c>
      <c r="J23" s="22" t="s">
        <v>19</v>
      </c>
      <c r="K23" s="24" t="s">
        <v>20</v>
      </c>
    </row>
    <row r="24" spans="1:13" ht="19.5" x14ac:dyDescent="0.35">
      <c r="A24" s="13" t="s">
        <v>16</v>
      </c>
      <c r="B24" s="38"/>
      <c r="C24" s="26"/>
      <c r="D24" s="25"/>
      <c r="E24" s="26"/>
      <c r="F24" s="25"/>
      <c r="G24" s="26"/>
      <c r="H24" s="25"/>
      <c r="I24" s="26"/>
      <c r="J24" s="25"/>
      <c r="K24" s="27"/>
    </row>
    <row r="25" spans="1:13" ht="19.5" x14ac:dyDescent="0.35">
      <c r="A25" s="13" t="s">
        <v>17</v>
      </c>
      <c r="B25" s="38"/>
      <c r="C25" s="26"/>
      <c r="D25" s="25"/>
      <c r="E25" s="26"/>
      <c r="F25" s="25"/>
      <c r="G25" s="26"/>
      <c r="H25" s="25"/>
      <c r="I25" s="26"/>
      <c r="J25" s="25"/>
      <c r="K25" s="27"/>
    </row>
    <row r="26" spans="1:13" ht="20.25" thickBot="1" x14ac:dyDescent="0.4">
      <c r="A26" s="28" t="s">
        <v>18</v>
      </c>
      <c r="B26" s="39"/>
      <c r="C26" s="30"/>
      <c r="D26" s="29"/>
      <c r="E26" s="30"/>
      <c r="F26" s="29"/>
      <c r="G26" s="30"/>
      <c r="H26" s="29"/>
      <c r="I26" s="30"/>
      <c r="J26" s="29"/>
      <c r="K26" s="31"/>
    </row>
    <row r="27" spans="1:13" s="35" customFormat="1" ht="16.5" x14ac:dyDescent="0.3">
      <c r="A27" s="32"/>
      <c r="B27" s="33" t="s">
        <v>21</v>
      </c>
      <c r="C27" s="32"/>
      <c r="D27" s="32"/>
      <c r="E27" s="33"/>
      <c r="F27" s="32"/>
      <c r="G27" s="32"/>
      <c r="H27" s="32"/>
      <c r="I27" s="33"/>
      <c r="J27" s="32"/>
      <c r="K27" s="32"/>
      <c r="L27" s="34"/>
    </row>
    <row r="28" spans="1:13" s="35" customFormat="1" ht="16.5" x14ac:dyDescent="0.3">
      <c r="A28" s="32"/>
      <c r="B28" s="33"/>
      <c r="C28" s="32"/>
      <c r="D28" s="32"/>
      <c r="E28" s="33"/>
      <c r="F28" s="32"/>
      <c r="G28" s="32"/>
      <c r="H28" s="32"/>
      <c r="I28" s="33"/>
      <c r="J28" s="32"/>
      <c r="K28" s="32"/>
      <c r="L28" s="34"/>
    </row>
    <row r="29" spans="1:13" ht="16.5" thickBot="1" x14ac:dyDescent="0.3">
      <c r="A29" s="40" t="s">
        <v>22</v>
      </c>
      <c r="B29" s="72" t="s">
        <v>23</v>
      </c>
      <c r="C29" s="73"/>
      <c r="D29" s="73"/>
      <c r="E29" s="74"/>
    </row>
    <row r="30" spans="1:13" x14ac:dyDescent="0.25">
      <c r="A30" s="41" t="s">
        <v>24</v>
      </c>
      <c r="B30" s="42">
        <v>57.7</v>
      </c>
      <c r="C30" s="42">
        <v>63.5</v>
      </c>
      <c r="D30" s="42">
        <v>115.5</v>
      </c>
      <c r="E30" s="42">
        <v>127</v>
      </c>
      <c r="F30" s="75" t="s">
        <v>29</v>
      </c>
      <c r="G30" s="76"/>
      <c r="H30" s="76"/>
      <c r="I30" s="76"/>
      <c r="J30" s="76"/>
      <c r="K30" s="77"/>
    </row>
    <row r="31" spans="1:13" ht="37.5" customHeight="1" thickBot="1" x14ac:dyDescent="0.3">
      <c r="A31" s="46" t="s">
        <v>25</v>
      </c>
      <c r="B31" s="47">
        <v>0.23</v>
      </c>
      <c r="C31" s="47">
        <v>0.25</v>
      </c>
      <c r="D31" s="47">
        <v>0.46</v>
      </c>
      <c r="E31" s="47">
        <v>0.5</v>
      </c>
      <c r="F31" s="78"/>
      <c r="G31" s="79"/>
      <c r="H31" s="79"/>
      <c r="I31" s="79"/>
      <c r="J31" s="79"/>
      <c r="K31" s="80"/>
    </row>
    <row r="32" spans="1:13" ht="19.5" x14ac:dyDescent="0.4">
      <c r="B32" s="36"/>
      <c r="C32" s="36"/>
    </row>
    <row r="33" spans="1:11" ht="19.5" x14ac:dyDescent="0.4">
      <c r="B33" s="36"/>
      <c r="C33" s="36"/>
    </row>
    <row r="34" spans="1:11" ht="19.5" x14ac:dyDescent="0.4">
      <c r="B34" s="36"/>
      <c r="C34" s="36"/>
    </row>
    <row r="35" spans="1:11" ht="19.5" x14ac:dyDescent="0.4">
      <c r="B35" s="36"/>
      <c r="C35" s="36"/>
    </row>
    <row r="36" spans="1:11" ht="19.5" x14ac:dyDescent="0.4">
      <c r="B36" s="36"/>
      <c r="C36" s="36"/>
    </row>
    <row r="37" spans="1:11" ht="19.5" x14ac:dyDescent="0.4">
      <c r="B37" s="36"/>
      <c r="C37" s="36"/>
    </row>
    <row r="38" spans="1:11" x14ac:dyDescent="0.25">
      <c r="H38" s="43"/>
    </row>
    <row r="39" spans="1:11" x14ac:dyDescent="0.25">
      <c r="B39" t="str">
        <f>B6</f>
        <v>Samleskinne A (+2R1)</v>
      </c>
      <c r="C39" t="str">
        <f>D6</f>
        <v>Samleskinne B (+2R1)</v>
      </c>
      <c r="D39" t="str">
        <f>F6</f>
        <v>Nedre Røssåga (+4R1)</v>
      </c>
      <c r="E39" t="str">
        <f>H6</f>
        <v>Trofors (+4R3)</v>
      </c>
      <c r="F39">
        <f>J6</f>
        <v>0</v>
      </c>
      <c r="G39">
        <f>B17</f>
        <v>0</v>
      </c>
      <c r="H39">
        <f>D17</f>
        <v>0</v>
      </c>
      <c r="I39" s="43">
        <f>F17</f>
        <v>0</v>
      </c>
      <c r="J39">
        <f>H17</f>
        <v>0</v>
      </c>
      <c r="K39">
        <f>J17</f>
        <v>0</v>
      </c>
    </row>
    <row r="40" spans="1:11" ht="16.5" x14ac:dyDescent="0.3">
      <c r="A40" s="44" t="s">
        <v>26</v>
      </c>
      <c r="B40">
        <v>0</v>
      </c>
      <c r="C40" s="45" t="str">
        <f>E9</f>
        <v/>
      </c>
      <c r="D40" s="45" t="str">
        <f>G9</f>
        <v/>
      </c>
      <c r="E40" s="45" t="str">
        <f>I9</f>
        <v/>
      </c>
      <c r="F40" s="45">
        <f>K9</f>
        <v>0</v>
      </c>
      <c r="G40" s="45">
        <f>C20</f>
        <v>0</v>
      </c>
      <c r="H40" s="45">
        <f>E20</f>
        <v>0</v>
      </c>
      <c r="I40" s="45">
        <f>G20</f>
        <v>0</v>
      </c>
      <c r="J40" s="45">
        <f>I20</f>
        <v>0</v>
      </c>
      <c r="K40" s="45" t="str">
        <f>K20</f>
        <v/>
      </c>
    </row>
    <row r="41" spans="1:11" ht="16.5" x14ac:dyDescent="0.3">
      <c r="A41" s="44" t="s">
        <v>27</v>
      </c>
      <c r="B41">
        <v>0</v>
      </c>
      <c r="C41" s="45" t="str">
        <f>E10</f>
        <v/>
      </c>
      <c r="D41" s="45">
        <f>G10</f>
        <v>0</v>
      </c>
      <c r="E41" s="45" t="str">
        <f>I10</f>
        <v/>
      </c>
      <c r="F41" s="45">
        <f>K10</f>
        <v>0</v>
      </c>
      <c r="G41" s="45">
        <f>C21</f>
        <v>0</v>
      </c>
      <c r="H41" s="45">
        <f>E21</f>
        <v>0</v>
      </c>
      <c r="I41" s="45">
        <f>G21</f>
        <v>0</v>
      </c>
      <c r="J41" s="45">
        <f>I21</f>
        <v>0</v>
      </c>
      <c r="K41" s="45" t="str">
        <f>K21</f>
        <v/>
      </c>
    </row>
    <row r="42" spans="1:11" ht="16.5" x14ac:dyDescent="0.3">
      <c r="A42" s="44" t="s">
        <v>28</v>
      </c>
      <c r="B42">
        <v>0</v>
      </c>
      <c r="C42" s="45" t="str">
        <f>E11</f>
        <v/>
      </c>
      <c r="D42" s="45" t="str">
        <f>G11</f>
        <v/>
      </c>
      <c r="E42" s="45" t="str">
        <f>I11</f>
        <v/>
      </c>
      <c r="F42" s="45">
        <f>K11</f>
        <v>0</v>
      </c>
      <c r="G42" s="45">
        <f>C22</f>
        <v>0</v>
      </c>
      <c r="H42" s="45">
        <f>E22</f>
        <v>0</v>
      </c>
      <c r="I42" s="45">
        <f>G22</f>
        <v>0</v>
      </c>
      <c r="J42" s="45">
        <f>I22</f>
        <v>0</v>
      </c>
      <c r="K42" s="45" t="str">
        <f>K22</f>
        <v/>
      </c>
    </row>
  </sheetData>
  <mergeCells count="30">
    <mergeCell ref="B29:E29"/>
    <mergeCell ref="F30:K31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7:C7"/>
    <mergeCell ref="D7:E7"/>
    <mergeCell ref="F7:G7"/>
    <mergeCell ref="H7:I7"/>
    <mergeCell ref="J7:K7"/>
    <mergeCell ref="H6:I6"/>
    <mergeCell ref="J6:K6"/>
    <mergeCell ref="B1:C1"/>
    <mergeCell ref="E1:F1"/>
    <mergeCell ref="J1:K1"/>
    <mergeCell ref="B2:C2"/>
    <mergeCell ref="J2:K2"/>
    <mergeCell ref="B3:C3"/>
    <mergeCell ref="J3:K3"/>
    <mergeCell ref="A4:G5"/>
    <mergeCell ref="B6:C6"/>
    <mergeCell ref="D6:E6"/>
    <mergeCell ref="F6:G6"/>
  </mergeCells>
  <phoneticPr fontId="22" type="noConversion"/>
  <pageMargins left="0.7" right="0.7" top="0.75" bottom="0.75" header="0.3" footer="0.3"/>
  <pageSetup paperSize="9" scale="57" orientation="portrait" horizontalDpi="1200" verticalDpi="12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sitivity xmlns="4b02223f-79db-47c0-b5e8-5ec0321a0115" xsi:nil="true"/>
    <_dlc_DocId xmlns="7e70dfc8-65c9-4661-86c6-671f006a5f71">PU6RUTQV52RJ-40983293-57</_dlc_DocId>
    <_dlc_DocIdUrl xmlns="7e70dfc8-65c9-4661-86c6-671f006a5f71">
      <Url>https://statnett.sharepoint.com/sites/NNNDriftsomraadeNordland_org/_layouts/15/DocIdRedir.aspx?ID=PU6RUTQV52RJ-40983293-57</Url>
      <Description>PU6RUTQV52RJ-40983293-57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5F5F810ACB8B74A825355561B81D9A4" ma:contentTypeVersion="10" ma:contentTypeDescription="Opprett et nytt dokument." ma:contentTypeScope="" ma:versionID="f00deb2c4f8798cc3852566a422060e7">
  <xsd:schema xmlns:xsd="http://www.w3.org/2001/XMLSchema" xmlns:xs="http://www.w3.org/2001/XMLSchema" xmlns:p="http://schemas.microsoft.com/office/2006/metadata/properties" xmlns:ns2="7e70dfc8-65c9-4661-86c6-671f006a5f71" xmlns:ns3="4b02223f-79db-47c0-b5e8-5ec0321a0115" xmlns:ns4="a2faa440-7076-4622-a35c-045f7f51ed12" targetNamespace="http://schemas.microsoft.com/office/2006/metadata/properties" ma:root="true" ma:fieldsID="3d9b0e3fc88dc4ef02507b12df020daa" ns2:_="" ns3:_="" ns4:_="">
    <xsd:import namespace="7e70dfc8-65c9-4661-86c6-671f006a5f71"/>
    <xsd:import namespace="4b02223f-79db-47c0-b5e8-5ec0321a0115"/>
    <xsd:import namespace="a2faa440-7076-4622-a35c-045f7f51ed1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ensi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0dfc8-65c9-4661-86c6-671f006a5f7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erdi" ma:description="Verdien for dokument-IDen som er tilordnet elemen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Fast kobling til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2223f-79db-47c0-b5e8-5ec0321a0115" elementFormDefault="qualified">
    <xsd:import namespace="http://schemas.microsoft.com/office/2006/documentManagement/types"/>
    <xsd:import namespace="http://schemas.microsoft.com/office/infopath/2007/PartnerControls"/>
    <xsd:element name="Sensitivity" ma:index="11" nillable="true" ma:displayName="Verdivurdering" ma:format="Dropdown" ma:internalName="Sensitivity">
      <xsd:simpleType>
        <xsd:restriction base="dms:Choice">
          <xsd:enumeration value="Statnett åpen"/>
          <xsd:enumeration value="Statnett intern"/>
          <xsd:enumeration value="Statnett konfidensiell"/>
          <xsd:enumeration value="Statnett sensitiv"/>
          <xsd:enumeration value="Statnett sensitiv Kraftsensitiv"/>
          <xsd:enumeration value="Statnett sensitiv -(EN) Sensitive energy data"/>
          <xsd:enumeration value="Statnett sensitiv Markedssensitiv"/>
          <xsd:enumeration value="Statnett sensitiv -(EN) Sensitive market data"/>
          <xsd:enumeration value="Statnett sensitiv Sensitive personopplysninger"/>
          <xsd:enumeration value="Statnett sensitiv -(EN) Sensitive personal data"/>
          <xsd:enumeration value="Annet"/>
          <xsd:enumeration value="Annet Ikke Statnett-informasjon"/>
          <xsd:enumeration value="Annet Ikke jobbrelater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aa440-7076-4622-a35c-045f7f51e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71ECF9-4F96-4330-A805-50BEE4C7534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B65DE68-6879-40AA-9347-A3B8BFC922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630659-7B5E-4B15-9B65-5936EFAF86DC}">
  <ds:schemaRefs>
    <ds:schemaRef ds:uri="http://schemas.microsoft.com/office/2006/metadata/properties"/>
    <ds:schemaRef ds:uri="http://purl.org/dc/elements/1.1/"/>
    <ds:schemaRef ds:uri="4b02223f-79db-47c0-b5e8-5ec0321a0115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a2faa440-7076-4622-a35c-045f7f51ed12"/>
    <ds:schemaRef ds:uri="http://schemas.openxmlformats.org/package/2006/metadata/core-properties"/>
    <ds:schemaRef ds:uri="7e70dfc8-65c9-4661-86c6-671f006a5f71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17260334-18E4-4F3A-A251-55748AE631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Fremgangsmetode</vt:lpstr>
      <vt:lpstr>xxxkV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 Basmo</dc:creator>
  <cp:lastModifiedBy>Morten Egren</cp:lastModifiedBy>
  <cp:lastPrinted>2026-05-21T06:15:41Z</cp:lastPrinted>
  <dcterms:created xsi:type="dcterms:W3CDTF">2015-06-05T18:19:34Z</dcterms:created>
  <dcterms:modified xsi:type="dcterms:W3CDTF">2026-05-21T06:16:45Z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b74f4c-7570-4ac9-8413-c450456f7dc6_Enabled">
    <vt:lpwstr>true</vt:lpwstr>
  </property>
  <property fmtid="{D5CDD505-2E9C-101B-9397-08002B2CF9AE}" pid="3" name="MSIP_Label_55b74f4c-7570-4ac9-8413-c450456f7dc6_SetDate">
    <vt:lpwstr>2025-05-01T11:13:05Z</vt:lpwstr>
  </property>
  <property fmtid="{D5CDD505-2E9C-101B-9397-08002B2CF9AE}" pid="4" name="MSIP_Label_55b74f4c-7570-4ac9-8413-c450456f7dc6_Method">
    <vt:lpwstr>Privileged</vt:lpwstr>
  </property>
  <property fmtid="{D5CDD505-2E9C-101B-9397-08002B2CF9AE}" pid="5" name="MSIP_Label_55b74f4c-7570-4ac9-8413-c450456f7dc6_Name">
    <vt:lpwstr>Statnett intern_0</vt:lpwstr>
  </property>
  <property fmtid="{D5CDD505-2E9C-101B-9397-08002B2CF9AE}" pid="6" name="MSIP_Label_55b74f4c-7570-4ac9-8413-c450456f7dc6_SiteId">
    <vt:lpwstr>a8d61462-f252-44b2-bf6a-d7231960c041</vt:lpwstr>
  </property>
  <property fmtid="{D5CDD505-2E9C-101B-9397-08002B2CF9AE}" pid="7" name="MSIP_Label_55b74f4c-7570-4ac9-8413-c450456f7dc6_ActionId">
    <vt:lpwstr>6a03de74-633b-4d12-a674-81378438d066</vt:lpwstr>
  </property>
  <property fmtid="{D5CDD505-2E9C-101B-9397-08002B2CF9AE}" pid="8" name="MSIP_Label_55b74f4c-7570-4ac9-8413-c450456f7dc6_ContentBits">
    <vt:lpwstr>0</vt:lpwstr>
  </property>
  <property fmtid="{D5CDD505-2E9C-101B-9397-08002B2CF9AE}" pid="9" name="MSIP_Label_55b74f4c-7570-4ac9-8413-c450456f7dc6_Tag">
    <vt:lpwstr>10, 0, 1, 1</vt:lpwstr>
  </property>
  <property fmtid="{D5CDD505-2E9C-101B-9397-08002B2CF9AE}" pid="10" name="ContentTypeId">
    <vt:lpwstr>0x01010045F5F810ACB8B74A825355561B81D9A4</vt:lpwstr>
  </property>
  <property fmtid="{D5CDD505-2E9C-101B-9397-08002B2CF9AE}" pid="11" name="_dlc_DocIdItemGuid">
    <vt:lpwstr>846f0571-47cb-4b2b-9483-3c187a8ee49c</vt:lpwstr>
  </property>
</Properties>
</file>